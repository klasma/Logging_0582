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46293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46293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46293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46293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46293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46293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46293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46293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46293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46293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46293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46293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46293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46293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46293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28549-2024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46293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Vippärt</t>
        </is>
      </c>
      <c r="W34">
        <f>HYPERLINK("https://klasma.github.io/Logging_0582/artfynd/A 28549-2024 artfynd.xlsx", "A 28549-2024")</f>
        <v/>
      </c>
      <c r="X34">
        <f>HYPERLINK("https://klasma.github.io/Logging_0582/kartor/A 28549-2024 karta.png", "A 28549-2024")</f>
        <v/>
      </c>
      <c r="Y34">
        <f>HYPERLINK("https://klasma.github.io/Logging_0582/kartor_geotiff/A 28549-2024 georefererad karta.tif", "A 28549-2024")</f>
        <v/>
      </c>
      <c r="AA34">
        <f>HYPERLINK("https://klasma.github.io/Logging_0582/klagomål/A 28549-2024 FSC-klagomål.docx", "A 28549-2024")</f>
        <v/>
      </c>
      <c r="AB34">
        <f>HYPERLINK("https://klasma.github.io/Logging_0582/klagomålsmail/A 28549-2024 FSC-klagomål mail.docx", "A 28549-2024")</f>
        <v/>
      </c>
      <c r="AC34">
        <f>HYPERLINK("https://klasma.github.io/Logging_0582/tillsyn/A 28549-2024 tillsynsbegäran.docx", "A 28549-2024")</f>
        <v/>
      </c>
      <c r="AD34">
        <f>HYPERLINK("https://klasma.github.io/Logging_0582/tillsynsmail/A 28549-2024 tillsynsbegäran mail.docx", "A 28549-2024")</f>
        <v/>
      </c>
    </row>
    <row r="35" ht="15" customHeight="1">
      <c r="A35" t="inlineStr">
        <is>
          <t>A 30324-2024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45490</v>
      </c>
      <c r="E35" s="1" t="n">
        <v>46293</v>
      </c>
      <c r="F35" t="inlineStr">
        <is>
          <t>ÖSTERGÖTLANDS LÄN</t>
        </is>
      </c>
      <c r="G35" t="inlineStr">
        <is>
          <t>SÖDERKÖPING</t>
        </is>
      </c>
      <c r="I35" t="n">
        <v>10.9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Nattskärra</t>
        </is>
      </c>
      <c r="W35">
        <f>HYPERLINK("https://klasma.github.io/Logging_0582/artfynd/A 30324-2024 artfynd.xlsx", "A 30324-2024")</f>
        <v/>
      </c>
      <c r="X35">
        <f>HYPERLINK("https://klasma.github.io/Logging_0582/kartor/A 30324-2024 karta.png", "A 30324-2024")</f>
        <v/>
      </c>
      <c r="Y35">
        <f>HYPERLINK("https://klasma.github.io/Logging_0582/kartor_geotiff/A 30324-2024 georefererad karta.tif", "A 30324-2024")</f>
        <v/>
      </c>
      <c r="AA35">
        <f>HYPERLINK("https://klasma.github.io/Logging_0582/klagomål/A 30324-2024 FSC-klagomål.docx", "A 30324-2024")</f>
        <v/>
      </c>
      <c r="AB35">
        <f>HYPERLINK("https://klasma.github.io/Logging_0582/klagomålsmail/A 30324-2024 FSC-klagomål mail.docx", "A 30324-2024")</f>
        <v/>
      </c>
      <c r="AC35">
        <f>HYPERLINK("https://klasma.github.io/Logging_0582/tillsyn/A 30324-2024 tillsynsbegäran.docx", "A 30324-2024")</f>
        <v/>
      </c>
      <c r="AD35">
        <f>HYPERLINK("https://klasma.github.io/Logging_0582/tillsynsmail/A 30324-2024 tillsynsbegäran mail.docx", "A 30324-2024")</f>
        <v/>
      </c>
      <c r="AE35">
        <f>HYPERLINK("https://klasma.github.io/Logging_0582/fåglar/A 30324-2024 prioriterade fågelarter.docx", "A 30324-2024")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46293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46293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46293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46293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46293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46293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46293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46293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46293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46293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46293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46293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46293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46293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46293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46293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46293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46293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46293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46293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46293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46293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46293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46293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46293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46293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46293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46293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46293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45215</v>
      </c>
      <c r="E65" s="1" t="n">
        <v>46293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46293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46293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46293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46293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46293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46293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46293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46293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46293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46293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46293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46293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46293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46293</v>
      </c>
      <c r="F79" t="inlineStr">
        <is>
          <t>ÖSTERGÖTLANDS LÄN</t>
        </is>
      </c>
      <c r="G79" t="inlineStr">
        <is>
          <t>SÖDERKÖPING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46293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46293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Allmännings- och besparingsskogar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46293</v>
      </c>
      <c r="F82" t="inlineStr">
        <is>
          <t>ÖSTERGÖTLANDS LÄN</t>
        </is>
      </c>
      <c r="G82" t="inlineStr">
        <is>
          <t>SÖDERKÖPING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46293</v>
      </c>
      <c r="F83" t="inlineStr">
        <is>
          <t>ÖSTERGÖTLANDS LÄN</t>
        </is>
      </c>
      <c r="G83" t="inlineStr">
        <is>
          <t>SÖDERKÖPING</t>
        </is>
      </c>
      <c r="I83" t="n">
        <v>26.6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46293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46293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46050</v>
      </c>
      <c r="E86" s="1" t="n">
        <v>46293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Kyrkan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46293</v>
      </c>
      <c r="F87" t="inlineStr">
        <is>
          <t>ÖSTERGÖTLANDS LÄN</t>
        </is>
      </c>
      <c r="G87" t="inlineStr">
        <is>
          <t>SÖDERKÖPING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46293</v>
      </c>
      <c r="F88" t="inlineStr">
        <is>
          <t>ÖSTERGÖTLANDS LÄN</t>
        </is>
      </c>
      <c r="G88" t="inlineStr">
        <is>
          <t>SÖDERKÖPING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46293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46293</v>
      </c>
      <c r="F90" t="inlineStr">
        <is>
          <t>ÖSTERGÖTLANDS LÄN</t>
        </is>
      </c>
      <c r="G90" t="inlineStr">
        <is>
          <t>SÖDERKÖPING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46056</v>
      </c>
      <c r="E91" s="1" t="n">
        <v>46293</v>
      </c>
      <c r="F91" t="inlineStr">
        <is>
          <t>ÖSTERGÖTLANDS LÄN</t>
        </is>
      </c>
      <c r="G91" t="inlineStr">
        <is>
          <t>SÖDERKÖPING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46293</v>
      </c>
      <c r="F92" t="inlineStr">
        <is>
          <t>ÖSTERGÖTLANDS LÄN</t>
        </is>
      </c>
      <c r="G92" t="inlineStr">
        <is>
          <t>SÖDERKÖPING</t>
        </is>
      </c>
      <c r="H92" t="inlineStr">
        <is>
          <t>Kyrkan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46293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46293</v>
      </c>
      <c r="F94" t="inlineStr">
        <is>
          <t>ÖSTERGÖTLANDS LÄN</t>
        </is>
      </c>
      <c r="G94" t="inlineStr">
        <is>
          <t>SÖDERKÖPING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46293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46293</v>
      </c>
      <c r="F96" t="inlineStr">
        <is>
          <t>ÖSTERGÖTLANDS LÄN</t>
        </is>
      </c>
      <c r="G96" t="inlineStr">
        <is>
          <t>SÖDERKÖPING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46293</v>
      </c>
      <c r="F97" t="inlineStr">
        <is>
          <t>ÖSTERGÖTLANDS LÄN</t>
        </is>
      </c>
      <c r="G97" t="inlineStr">
        <is>
          <t>SÖDERKÖPING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46293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46293</v>
      </c>
      <c r="F99" t="inlineStr">
        <is>
          <t>ÖSTERGÖTLANDS LÄN</t>
        </is>
      </c>
      <c r="G99" t="inlineStr">
        <is>
          <t>SÖDERKÖPING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46293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46293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46293</v>
      </c>
      <c r="F102" t="inlineStr">
        <is>
          <t>ÖSTERGÖTLANDS LÄN</t>
        </is>
      </c>
      <c r="G102" t="inlineStr">
        <is>
          <t>SÖDERKÖPING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46293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46293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46293</v>
      </c>
      <c r="F105" t="inlineStr">
        <is>
          <t>ÖSTERGÖTLANDS LÄN</t>
        </is>
      </c>
      <c r="G105" t="inlineStr">
        <is>
          <t>SÖDERKÖPING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46293</v>
      </c>
      <c r="F106" t="inlineStr">
        <is>
          <t>ÖSTERGÖTLANDS LÄN</t>
        </is>
      </c>
      <c r="G106" t="inlineStr">
        <is>
          <t>SÖDERKÖPING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46293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46293</v>
      </c>
      <c r="F108" t="inlineStr">
        <is>
          <t>ÖSTERGÖTLANDS LÄN</t>
        </is>
      </c>
      <c r="G108" t="inlineStr">
        <is>
          <t>SÖDERKÖPING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46293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46293</v>
      </c>
      <c r="F110" t="inlineStr">
        <is>
          <t>ÖSTERGÖTLANDS LÄN</t>
        </is>
      </c>
      <c r="G110" t="inlineStr">
        <is>
          <t>SÖDERKÖPING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46293</v>
      </c>
      <c r="F111" t="inlineStr">
        <is>
          <t>ÖSTERGÖTLANDS LÄN</t>
        </is>
      </c>
      <c r="G111" t="inlineStr">
        <is>
          <t>SÖDERKÖPING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46293</v>
      </c>
      <c r="F112" t="inlineStr">
        <is>
          <t>ÖSTERGÖTLANDS LÄN</t>
        </is>
      </c>
      <c r="G112" t="inlineStr">
        <is>
          <t>SÖDERKÖPING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46293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46293</v>
      </c>
      <c r="F114" t="inlineStr">
        <is>
          <t>ÖSTERGÖTLANDS LÄN</t>
        </is>
      </c>
      <c r="G114" t="inlineStr">
        <is>
          <t>SÖDERKÖPING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11005-2026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46079</v>
      </c>
      <c r="E115" s="1" t="n">
        <v>46293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Kyrkan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44911</v>
      </c>
      <c r="E116" s="1" t="n">
        <v>46293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Allmännings- och besparingsskogar</t>
        </is>
      </c>
      <c r="I116" t="n">
        <v>10.8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46293</v>
      </c>
      <c r="F117" t="inlineStr">
        <is>
          <t>ÖSTERGÖTLANDS LÄN</t>
        </is>
      </c>
      <c r="G117" t="inlineStr">
        <is>
          <t>SÖDERKÖPING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46293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46084</v>
      </c>
      <c r="E119" s="1" t="n">
        <v>46293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46293</v>
      </c>
      <c r="F120" t="inlineStr">
        <is>
          <t>ÖSTERGÖTLANDS LÄN</t>
        </is>
      </c>
      <c r="G120" t="inlineStr">
        <is>
          <t>SÖDERKÖPING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45344</v>
      </c>
      <c r="E121" s="1" t="n">
        <v>46293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46293</v>
      </c>
      <c r="F122" t="inlineStr">
        <is>
          <t>ÖSTERGÖTLANDS LÄN</t>
        </is>
      </c>
      <c r="G122" t="inlineStr">
        <is>
          <t>SÖDERKÖPING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46293</v>
      </c>
      <c r="F123" t="inlineStr">
        <is>
          <t>ÖSTERGÖTLANDS LÄN</t>
        </is>
      </c>
      <c r="G123" t="inlineStr">
        <is>
          <t>SÖDERKÖPING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46293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46293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46293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44572</v>
      </c>
      <c r="E127" s="1" t="n">
        <v>46293</v>
      </c>
      <c r="F127" t="inlineStr">
        <is>
          <t>ÖSTERGÖTLANDS LÄN</t>
        </is>
      </c>
      <c r="G127" t="inlineStr">
        <is>
          <t>SÖDERKÖPING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44736</v>
      </c>
      <c r="E128" s="1" t="n">
        <v>46293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46293</v>
      </c>
      <c r="F129" t="inlineStr">
        <is>
          <t>ÖSTERGÖTLANDS LÄN</t>
        </is>
      </c>
      <c r="G129" t="inlineStr">
        <is>
          <t>SÖDERKÖPING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46293</v>
      </c>
      <c r="F130" t="inlineStr">
        <is>
          <t>ÖSTERGÖTLANDS LÄN</t>
        </is>
      </c>
      <c r="G130" t="inlineStr">
        <is>
          <t>SÖDERKÖPING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46293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46293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46293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46293</v>
      </c>
      <c r="F134" t="inlineStr">
        <is>
          <t>ÖSTERGÖTLANDS LÄN</t>
        </is>
      </c>
      <c r="G134" t="inlineStr">
        <is>
          <t>SÖDERKÖPING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46293</v>
      </c>
      <c r="F135" t="inlineStr">
        <is>
          <t>ÖSTERGÖTLANDS LÄN</t>
        </is>
      </c>
      <c r="G135" t="inlineStr">
        <is>
          <t>SÖDERKÖPING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46293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46293</v>
      </c>
      <c r="F137" t="inlineStr">
        <is>
          <t>ÖSTERGÖTLANDS LÄN</t>
        </is>
      </c>
      <c r="G137" t="inlineStr">
        <is>
          <t>SÖDERKÖPING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46293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46293</v>
      </c>
      <c r="F139" t="inlineStr">
        <is>
          <t>ÖSTERGÖTLANDS LÄN</t>
        </is>
      </c>
      <c r="G139" t="inlineStr">
        <is>
          <t>SÖDERKÖPING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46293</v>
      </c>
      <c r="F140" t="inlineStr">
        <is>
          <t>ÖSTERGÖTLANDS LÄN</t>
        </is>
      </c>
      <c r="G140" t="inlineStr">
        <is>
          <t>SÖDERKÖPING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46293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46293</v>
      </c>
      <c r="F142" t="inlineStr">
        <is>
          <t>ÖSTERGÖTLANDS LÄN</t>
        </is>
      </c>
      <c r="G142" t="inlineStr">
        <is>
          <t>SÖDERKÖPING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46293</v>
      </c>
      <c r="F143" t="inlineStr">
        <is>
          <t>ÖSTERGÖTLANDS LÄN</t>
        </is>
      </c>
      <c r="G143" t="inlineStr">
        <is>
          <t>SÖDERKÖPING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46293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46293</v>
      </c>
      <c r="F145" t="inlineStr">
        <is>
          <t>ÖSTERGÖTLANDS LÄN</t>
        </is>
      </c>
      <c r="G145" t="inlineStr">
        <is>
          <t>SÖDERKÖPING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45663</v>
      </c>
      <c r="E146" s="1" t="n">
        <v>46293</v>
      </c>
      <c r="F146" t="inlineStr">
        <is>
          <t>ÖSTERGÖTLANDS LÄN</t>
        </is>
      </c>
      <c r="G146" t="inlineStr">
        <is>
          <t>SÖDERKÖPING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46293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46293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46293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46293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46293</v>
      </c>
      <c r="F151" t="inlineStr">
        <is>
          <t>ÖSTERGÖTLANDS LÄN</t>
        </is>
      </c>
      <c r="G151" t="inlineStr">
        <is>
          <t>SÖDERKÖPING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46293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46293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46293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46293</v>
      </c>
      <c r="F155" t="inlineStr">
        <is>
          <t>ÖSTERGÖTLANDS LÄN</t>
        </is>
      </c>
      <c r="G155" t="inlineStr">
        <is>
          <t>SÖDERKÖPING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46293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46293</v>
      </c>
      <c r="F157" t="inlineStr">
        <is>
          <t>ÖSTERGÖTLANDS LÄN</t>
        </is>
      </c>
      <c r="G157" t="inlineStr">
        <is>
          <t>SÖDERKÖPING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46293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44495</v>
      </c>
      <c r="E159" s="1" t="n">
        <v>46293</v>
      </c>
      <c r="F159" t="inlineStr">
        <is>
          <t>ÖSTERGÖTLANDS LÄN</t>
        </is>
      </c>
      <c r="G159" t="inlineStr">
        <is>
          <t>SÖDERKÖPING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46293</v>
      </c>
      <c r="F160" t="inlineStr">
        <is>
          <t>ÖSTERGÖTLANDS LÄN</t>
        </is>
      </c>
      <c r="G160" t="inlineStr">
        <is>
          <t>SÖDERKÖPING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46293</v>
      </c>
      <c r="F161" t="inlineStr">
        <is>
          <t>ÖSTERGÖTLANDS LÄN</t>
        </is>
      </c>
      <c r="G161" t="inlineStr">
        <is>
          <t>SÖDERKÖPING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46293</v>
      </c>
      <c r="F162" t="inlineStr">
        <is>
          <t>ÖSTERGÖTLANDS LÄN</t>
        </is>
      </c>
      <c r="G162" t="inlineStr">
        <is>
          <t>SÖDERKÖPING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46293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46293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46293</v>
      </c>
      <c r="F165" t="inlineStr">
        <is>
          <t>ÖSTERGÖTLANDS LÄN</t>
        </is>
      </c>
      <c r="G165" t="inlineStr">
        <is>
          <t>SÖDERKÖPING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46293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46293</v>
      </c>
      <c r="F167" t="inlineStr">
        <is>
          <t>ÖSTERGÖTLANDS LÄN</t>
        </is>
      </c>
      <c r="G167" t="inlineStr">
        <is>
          <t>SÖDERKÖPING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46293</v>
      </c>
      <c r="F168" t="inlineStr">
        <is>
          <t>ÖSTERGÖTLANDS LÄN</t>
        </is>
      </c>
      <c r="G168" t="inlineStr">
        <is>
          <t>SÖDERKÖPING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46293</v>
      </c>
      <c r="F169" t="inlineStr">
        <is>
          <t>ÖSTERGÖTLANDS LÄN</t>
        </is>
      </c>
      <c r="G169" t="inlineStr">
        <is>
          <t>SÖDERKÖPING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46293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46293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46293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46293</v>
      </c>
      <c r="F173" t="inlineStr">
        <is>
          <t>ÖSTERGÖTLANDS LÄN</t>
        </is>
      </c>
      <c r="G173" t="inlineStr">
        <is>
          <t>SÖDERKÖPING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46293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46293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46293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20221-2023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45055</v>
      </c>
      <c r="E177" s="1" t="n">
        <v>46293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46293</v>
      </c>
      <c r="F178" t="inlineStr">
        <is>
          <t>ÖSTERGÖTLANDS LÄN</t>
        </is>
      </c>
      <c r="G178" t="inlineStr">
        <is>
          <t>SÖDERKÖPING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46293</v>
      </c>
      <c r="F179" t="inlineStr">
        <is>
          <t>ÖSTERGÖTLANDS LÄN</t>
        </is>
      </c>
      <c r="G179" t="inlineStr">
        <is>
          <t>SÖDERKÖPING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46293</v>
      </c>
      <c r="F180" t="inlineStr">
        <is>
          <t>ÖSTERGÖTLANDS LÄN</t>
        </is>
      </c>
      <c r="G180" t="inlineStr">
        <is>
          <t>SÖDERKÖPING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46293</v>
      </c>
      <c r="F181" t="inlineStr">
        <is>
          <t>ÖSTERGÖTLANDS LÄN</t>
        </is>
      </c>
      <c r="G181" t="inlineStr">
        <is>
          <t>SÖDERKÖPING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46293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45849</v>
      </c>
      <c r="E183" s="1" t="n">
        <v>46293</v>
      </c>
      <c r="F183" t="inlineStr">
        <is>
          <t>ÖSTERGÖTLANDS LÄN</t>
        </is>
      </c>
      <c r="G183" t="inlineStr">
        <is>
          <t>SÖDERKÖPING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45426</v>
      </c>
      <c r="E184" s="1" t="n">
        <v>46293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46293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46293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46293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46293</v>
      </c>
      <c r="F188" t="inlineStr">
        <is>
          <t>ÖSTERGÖTLANDS LÄN</t>
        </is>
      </c>
      <c r="G188" t="inlineStr">
        <is>
          <t>SÖDERKÖPING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46293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46293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46293</v>
      </c>
      <c r="F191" t="inlineStr">
        <is>
          <t>ÖSTERGÖTLANDS LÄN</t>
        </is>
      </c>
      <c r="G191" t="inlineStr">
        <is>
          <t>SÖDERKÖPING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46293</v>
      </c>
      <c r="F192" t="inlineStr">
        <is>
          <t>ÖSTERGÖTLANDS LÄN</t>
        </is>
      </c>
      <c r="G192" t="inlineStr">
        <is>
          <t>SÖDERKÖPING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46293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46293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46293</v>
      </c>
      <c r="F195" t="inlineStr">
        <is>
          <t>ÖSTERGÖTLANDS LÄN</t>
        </is>
      </c>
      <c r="G195" t="inlineStr">
        <is>
          <t>SÖDERKÖPING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46293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46293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46293</v>
      </c>
      <c r="F198" t="inlineStr">
        <is>
          <t>ÖSTERGÖTLANDS LÄN</t>
        </is>
      </c>
      <c r="G198" t="inlineStr">
        <is>
          <t>SÖDERKÖPING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46293</v>
      </c>
      <c r="F199" t="inlineStr">
        <is>
          <t>ÖSTERGÖTLANDS LÄN</t>
        </is>
      </c>
      <c r="G199" t="inlineStr">
        <is>
          <t>SÖDERKÖPING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46293</v>
      </c>
      <c r="F200" t="inlineStr">
        <is>
          <t>ÖSTERGÖTLANDS LÄN</t>
        </is>
      </c>
      <c r="G200" t="inlineStr">
        <is>
          <t>SÖDERKÖPING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46293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46293</v>
      </c>
      <c r="F202" t="inlineStr">
        <is>
          <t>ÖSTERGÖTLANDS LÄN</t>
        </is>
      </c>
      <c r="G202" t="inlineStr">
        <is>
          <t>SÖDERKÖPING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46293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46293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46293</v>
      </c>
      <c r="F205" t="inlineStr">
        <is>
          <t>ÖSTERGÖTLANDS LÄN</t>
        </is>
      </c>
      <c r="G205" t="inlineStr">
        <is>
          <t>SÖDERKÖPING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46293</v>
      </c>
      <c r="F206" t="inlineStr">
        <is>
          <t>ÖSTERGÖTLANDS LÄN</t>
        </is>
      </c>
      <c r="G206" t="inlineStr">
        <is>
          <t>SÖDERKÖPING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46293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46293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44937</v>
      </c>
      <c r="E209" s="1" t="n">
        <v>46293</v>
      </c>
      <c r="F209" t="inlineStr">
        <is>
          <t>ÖSTERGÖTLANDS LÄN</t>
        </is>
      </c>
      <c r="G209" t="inlineStr">
        <is>
          <t>SÖDERKÖPING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46293</v>
      </c>
      <c r="F210" t="inlineStr">
        <is>
          <t>ÖSTERGÖTLANDS LÄN</t>
        </is>
      </c>
      <c r="G210" t="inlineStr">
        <is>
          <t>SÖDERKÖPING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46293</v>
      </c>
      <c r="F211" t="inlineStr">
        <is>
          <t>ÖSTERGÖTLANDS LÄN</t>
        </is>
      </c>
      <c r="G211" t="inlineStr">
        <is>
          <t>SÖDERKÖPING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46293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46293</v>
      </c>
      <c r="F213" t="inlineStr">
        <is>
          <t>ÖSTERGÖTLANDS LÄN</t>
        </is>
      </c>
      <c r="G213" t="inlineStr">
        <is>
          <t>SÖDERKÖPING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46293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46293</v>
      </c>
      <c r="F215" t="inlineStr">
        <is>
          <t>ÖSTERGÖTLANDS LÄN</t>
        </is>
      </c>
      <c r="G215" t="inlineStr">
        <is>
          <t>SÖDERKÖPING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46293</v>
      </c>
      <c r="F216" t="inlineStr">
        <is>
          <t>ÖSTERGÖTLANDS LÄN</t>
        </is>
      </c>
      <c r="G216" t="inlineStr">
        <is>
          <t>SÖDERKÖPING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46293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26439-2026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46183</v>
      </c>
      <c r="E218" s="1" t="n">
        <v>46293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46293</v>
      </c>
      <c r="F219" t="inlineStr">
        <is>
          <t>ÖSTERGÖTLANDS LÄN</t>
        </is>
      </c>
      <c r="G219" t="inlineStr">
        <is>
          <t>SÖDERKÖPING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46293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Kommuner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46293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46293</v>
      </c>
      <c r="F222" t="inlineStr">
        <is>
          <t>ÖSTERGÖTLANDS LÄN</t>
        </is>
      </c>
      <c r="G222" t="inlineStr">
        <is>
          <t>SÖDERKÖPING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46293</v>
      </c>
      <c r="F223" t="inlineStr">
        <is>
          <t>ÖSTERGÖTLANDS LÄN</t>
        </is>
      </c>
      <c r="G223" t="inlineStr">
        <is>
          <t>SÖDERKÖPING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46293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44813</v>
      </c>
      <c r="E225" s="1" t="n">
        <v>46293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46293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46293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46293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46293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46293</v>
      </c>
      <c r="F230" t="inlineStr">
        <is>
          <t>ÖSTERGÖTLANDS LÄN</t>
        </is>
      </c>
      <c r="G230" t="inlineStr">
        <is>
          <t>SÖDERKÖPING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46293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46293</v>
      </c>
      <c r="F232" t="inlineStr">
        <is>
          <t>ÖSTERGÖTLANDS LÄN</t>
        </is>
      </c>
      <c r="G232" t="inlineStr">
        <is>
          <t>SÖDERKÖPING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46293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46293</v>
      </c>
      <c r="F234" t="inlineStr">
        <is>
          <t>ÖSTERGÖTLANDS LÄN</t>
        </is>
      </c>
      <c r="G234" t="inlineStr">
        <is>
          <t>SÖDERKÖPING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46293</v>
      </c>
      <c r="F235" t="inlineStr">
        <is>
          <t>ÖSTERGÖTLANDS LÄN</t>
        </is>
      </c>
      <c r="G235" t="inlineStr">
        <is>
          <t>SÖDERKÖPING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45055</v>
      </c>
      <c r="E236" s="1" t="n">
        <v>46293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46293</v>
      </c>
      <c r="F237" t="inlineStr">
        <is>
          <t>ÖSTERGÖTLANDS LÄN</t>
        </is>
      </c>
      <c r="G237" t="inlineStr">
        <is>
          <t>SÖDERKÖPING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46293</v>
      </c>
      <c r="F238" t="inlineStr">
        <is>
          <t>ÖSTERGÖTLANDS LÄN</t>
        </is>
      </c>
      <c r="G238" t="inlineStr">
        <is>
          <t>SÖDERKÖPING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46293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Kyrkan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46293</v>
      </c>
      <c r="F240" t="inlineStr">
        <is>
          <t>ÖSTERGÖTLANDS LÄN</t>
        </is>
      </c>
      <c r="G240" t="inlineStr">
        <is>
          <t>SÖDERKÖPING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46293</v>
      </c>
      <c r="F241" t="inlineStr">
        <is>
          <t>ÖSTERGÖTLANDS LÄN</t>
        </is>
      </c>
      <c r="G241" t="inlineStr">
        <is>
          <t>SÖDERKÖPING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46293</v>
      </c>
      <c r="F242" t="inlineStr">
        <is>
          <t>ÖSTERGÖTLANDS LÄN</t>
        </is>
      </c>
      <c r="G242" t="inlineStr">
        <is>
          <t>SÖDERKÖPING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46293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46293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46293</v>
      </c>
      <c r="F245" t="inlineStr">
        <is>
          <t>ÖSTERGÖTLANDS LÄN</t>
        </is>
      </c>
      <c r="G245" t="inlineStr">
        <is>
          <t>SÖDERKÖPING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44618</v>
      </c>
      <c r="E246" s="1" t="n">
        <v>46293</v>
      </c>
      <c r="F246" t="inlineStr">
        <is>
          <t>ÖSTERGÖTLANDS LÄN</t>
        </is>
      </c>
      <c r="G246" t="inlineStr">
        <is>
          <t>SÖDERKÖPING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44711</v>
      </c>
      <c r="E247" s="1" t="n">
        <v>46293</v>
      </c>
      <c r="F247" t="inlineStr">
        <is>
          <t>ÖSTERGÖTLANDS LÄN</t>
        </is>
      </c>
      <c r="G247" t="inlineStr">
        <is>
          <t>SÖDERKÖPING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46293</v>
      </c>
      <c r="F248" t="inlineStr">
        <is>
          <t>ÖSTERGÖTLANDS LÄN</t>
        </is>
      </c>
      <c r="G248" t="inlineStr">
        <is>
          <t>SÖDERKÖPING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46293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46293</v>
      </c>
      <c r="F250" t="inlineStr">
        <is>
          <t>ÖSTERGÖTLANDS LÄN</t>
        </is>
      </c>
      <c r="G250" t="inlineStr">
        <is>
          <t>SÖDERKÖPING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46293</v>
      </c>
      <c r="F251" t="inlineStr">
        <is>
          <t>ÖSTERGÖTLANDS LÄN</t>
        </is>
      </c>
      <c r="G251" t="inlineStr">
        <is>
          <t>SÖDERKÖPING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46293</v>
      </c>
      <c r="F252" t="inlineStr">
        <is>
          <t>ÖSTERGÖTLANDS LÄN</t>
        </is>
      </c>
      <c r="G252" t="inlineStr">
        <is>
          <t>SÖDERKÖPING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46293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46293</v>
      </c>
      <c r="F254" t="inlineStr">
        <is>
          <t>ÖSTERGÖTLANDS LÄN</t>
        </is>
      </c>
      <c r="G254" t="inlineStr">
        <is>
          <t>SÖDERKÖPING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46219</v>
      </c>
      <c r="E255" s="1" t="n">
        <v>46293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46293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46293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46293</v>
      </c>
      <c r="F258" t="inlineStr">
        <is>
          <t>ÖSTERGÖTLANDS LÄN</t>
        </is>
      </c>
      <c r="G258" t="inlineStr">
        <is>
          <t>SÖDERKÖPING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46293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46293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46293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46293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45297</v>
      </c>
      <c r="E263" s="1" t="n">
        <v>46293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46293</v>
      </c>
      <c r="F264" t="inlineStr">
        <is>
          <t>ÖSTERGÖTLANDS LÄN</t>
        </is>
      </c>
      <c r="G264" t="inlineStr">
        <is>
          <t>SÖDERKÖPING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46293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46293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46293</v>
      </c>
      <c r="F267" t="inlineStr">
        <is>
          <t>ÖSTERGÖTLANDS LÄN</t>
        </is>
      </c>
      <c r="G267" t="inlineStr">
        <is>
          <t>SÖDERKÖPING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46293</v>
      </c>
      <c r="F268" t="inlineStr">
        <is>
          <t>ÖSTERGÖTLANDS LÄN</t>
        </is>
      </c>
      <c r="G268" t="inlineStr">
        <is>
          <t>SÖDERKÖPING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46293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54787-2022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46293</v>
      </c>
      <c r="F270" t="inlineStr">
        <is>
          <t>ÖSTERGÖTLANDS LÄN</t>
        </is>
      </c>
      <c r="G270" t="inlineStr">
        <is>
          <t>SÖDERKÖPING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46293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44775</v>
      </c>
      <c r="E272" s="1" t="n">
        <v>46293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46293</v>
      </c>
      <c r="F273" t="inlineStr">
        <is>
          <t>ÖSTERGÖTLANDS LÄN</t>
        </is>
      </c>
      <c r="G273" t="inlineStr">
        <is>
          <t>SÖDERKÖPING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46293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46293</v>
      </c>
      <c r="F275" t="inlineStr">
        <is>
          <t>ÖSTERGÖTLANDS LÄN</t>
        </is>
      </c>
      <c r="G275" t="inlineStr">
        <is>
          <t>SÖDERKÖPING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46293</v>
      </c>
      <c r="F276" t="inlineStr">
        <is>
          <t>ÖSTERGÖTLANDS LÄN</t>
        </is>
      </c>
      <c r="G276" t="inlineStr">
        <is>
          <t>SÖDERKÖPING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46241</v>
      </c>
      <c r="E277" s="1" t="n">
        <v>46293</v>
      </c>
      <c r="F277" t="inlineStr">
        <is>
          <t>ÖSTERGÖTLANDS LÄN</t>
        </is>
      </c>
      <c r="G277" t="inlineStr">
        <is>
          <t>SÖDERKÖPING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69425-2021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46293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46293</v>
      </c>
      <c r="F279" t="inlineStr">
        <is>
          <t>ÖSTERGÖTLANDS LÄN</t>
        </is>
      </c>
      <c r="G279" t="inlineStr">
        <is>
          <t>SÖDERKÖPING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46293</v>
      </c>
      <c r="F280" t="inlineStr">
        <is>
          <t>ÖSTERGÖTLANDS LÄN</t>
        </is>
      </c>
      <c r="G280" t="inlineStr">
        <is>
          <t>SÖDERKÖPING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46293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46293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46293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66362-2021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46293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46293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46293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Allmännings- och besparingsskogar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46293</v>
      </c>
      <c r="F287" t="inlineStr">
        <is>
          <t>ÖSTERGÖTLANDS LÄN</t>
        </is>
      </c>
      <c r="G287" t="inlineStr">
        <is>
          <t>SÖDERKÖPING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44753</v>
      </c>
      <c r="E288" s="1" t="n">
        <v>46293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46293</v>
      </c>
      <c r="F289" t="inlineStr">
        <is>
          <t>ÖSTERGÖTLANDS LÄN</t>
        </is>
      </c>
      <c r="G289" t="inlineStr">
        <is>
          <t>SÖDERKÖPING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46293</v>
      </c>
      <c r="F290" t="inlineStr">
        <is>
          <t>ÖSTERGÖTLANDS LÄN</t>
        </is>
      </c>
      <c r="G290" t="inlineStr">
        <is>
          <t>SÖDERKÖPING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46293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Allmännings- och besparingsskogar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46293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46293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46293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46293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46293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46293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46293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46293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46293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46293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46293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46293</v>
      </c>
      <c r="F303" t="inlineStr">
        <is>
          <t>ÖSTERGÖTLANDS LÄN</t>
        </is>
      </c>
      <c r="G303" t="inlineStr">
        <is>
          <t>SÖDERKÖPING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46293</v>
      </c>
      <c r="F304" t="inlineStr">
        <is>
          <t>ÖSTERGÖTLANDS LÄN</t>
        </is>
      </c>
      <c r="G304" t="inlineStr">
        <is>
          <t>SÖDERKÖPING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46293</v>
      </c>
      <c r="F305" t="inlineStr">
        <is>
          <t>ÖSTERGÖTLANDS LÄN</t>
        </is>
      </c>
      <c r="G305" t="inlineStr">
        <is>
          <t>SÖDERKÖPING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46293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46293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Allmännings- och besparingsskogar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46293</v>
      </c>
      <c r="F308" t="inlineStr">
        <is>
          <t>ÖSTERGÖTLANDS LÄN</t>
        </is>
      </c>
      <c r="G308" t="inlineStr">
        <is>
          <t>SÖDERKÖPING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45295</v>
      </c>
      <c r="E309" s="1" t="n">
        <v>46293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46293</v>
      </c>
      <c r="F310" t="inlineStr">
        <is>
          <t>ÖSTERGÖTLANDS LÄN</t>
        </is>
      </c>
      <c r="G310" t="inlineStr">
        <is>
          <t>SÖDERKÖPING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46293</v>
      </c>
      <c r="F311" t="inlineStr">
        <is>
          <t>ÖSTERGÖTLANDS LÄN</t>
        </is>
      </c>
      <c r="G311" t="inlineStr">
        <is>
          <t>SÖDERKÖPING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45055</v>
      </c>
      <c r="E312" s="1" t="n">
        <v>46293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46293</v>
      </c>
      <c r="F313" t="inlineStr">
        <is>
          <t>ÖSTERGÖTLANDS LÄN</t>
        </is>
      </c>
      <c r="G313" t="inlineStr">
        <is>
          <t>SÖDERKÖPING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46293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46293</v>
      </c>
      <c r="F315" t="inlineStr">
        <is>
          <t>ÖSTERGÖTLANDS LÄN</t>
        </is>
      </c>
      <c r="G315" t="inlineStr">
        <is>
          <t>SÖDERKÖPING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46293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44796</v>
      </c>
      <c r="E317" s="1" t="n">
        <v>46293</v>
      </c>
      <c r="F317" t="inlineStr">
        <is>
          <t>ÖSTERGÖTLANDS LÄN</t>
        </is>
      </c>
      <c r="G317" t="inlineStr">
        <is>
          <t>SÖDERKÖPING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46293</v>
      </c>
      <c r="F318" t="inlineStr">
        <is>
          <t>ÖSTERGÖTLANDS LÄN</t>
        </is>
      </c>
      <c r="G318" t="inlineStr">
        <is>
          <t>SÖDERKÖPING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44588</v>
      </c>
      <c r="E319" s="1" t="n">
        <v>46293</v>
      </c>
      <c r="F319" t="inlineStr">
        <is>
          <t>ÖSTERGÖTLANDS LÄN</t>
        </is>
      </c>
      <c r="G319" t="inlineStr">
        <is>
          <t>SÖDERKÖPING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46293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63392-2021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44508</v>
      </c>
      <c r="E321" s="1" t="n">
        <v>46293</v>
      </c>
      <c r="F321" t="inlineStr">
        <is>
          <t>ÖSTERGÖTLANDS LÄN</t>
        </is>
      </c>
      <c r="G321" t="inlineStr">
        <is>
          <t>SÖDERKÖPING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46293</v>
      </c>
      <c r="F322" t="inlineStr">
        <is>
          <t>ÖSTERGÖTLANDS LÄN</t>
        </is>
      </c>
      <c r="G322" t="inlineStr">
        <is>
          <t>SÖDERKÖPING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46293</v>
      </c>
      <c r="F323" t="inlineStr">
        <is>
          <t>ÖSTERGÖTLANDS LÄN</t>
        </is>
      </c>
      <c r="G323" t="inlineStr">
        <is>
          <t>SÖDERKÖPING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46293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46293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46293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46293</v>
      </c>
      <c r="F327" t="inlineStr">
        <is>
          <t>ÖSTERGÖTLANDS LÄN</t>
        </is>
      </c>
      <c r="G327" t="inlineStr">
        <is>
          <t>SÖDERKÖPING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46293</v>
      </c>
      <c r="F328" t="inlineStr">
        <is>
          <t>ÖSTERGÖTLANDS LÄN</t>
        </is>
      </c>
      <c r="G328" t="inlineStr">
        <is>
          <t>SÖDERKÖPING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46293</v>
      </c>
      <c r="F329" t="inlineStr">
        <is>
          <t>ÖSTERGÖTLANDS LÄN</t>
        </is>
      </c>
      <c r="G329" t="inlineStr">
        <is>
          <t>SÖDERKÖPING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46293</v>
      </c>
      <c r="F330" t="inlineStr">
        <is>
          <t>ÖSTERGÖTLANDS LÄN</t>
        </is>
      </c>
      <c r="G330" t="inlineStr">
        <is>
          <t>SÖDERKÖPING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46293</v>
      </c>
      <c r="F331" t="inlineStr">
        <is>
          <t>ÖSTERGÖTLANDS LÄN</t>
        </is>
      </c>
      <c r="G331" t="inlineStr">
        <is>
          <t>SÖDERKÖPING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46293</v>
      </c>
      <c r="F332" t="inlineStr">
        <is>
          <t>ÖSTERGÖTLANDS LÄN</t>
        </is>
      </c>
      <c r="G332" t="inlineStr">
        <is>
          <t>SÖDERKÖPING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46293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46293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46293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46293</v>
      </c>
      <c r="F336" t="inlineStr">
        <is>
          <t>ÖSTERGÖTLANDS LÄN</t>
        </is>
      </c>
      <c r="G336" t="inlineStr">
        <is>
          <t>SÖDERKÖPING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45601</v>
      </c>
      <c r="E337" s="1" t="n">
        <v>46293</v>
      </c>
      <c r="F337" t="inlineStr">
        <is>
          <t>ÖSTERGÖTLANDS LÄN</t>
        </is>
      </c>
      <c r="G337" t="inlineStr">
        <is>
          <t>SÖDERKÖPING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46293</v>
      </c>
      <c r="F338" t="inlineStr">
        <is>
          <t>ÖSTERGÖTLANDS LÄN</t>
        </is>
      </c>
      <c r="G338" t="inlineStr">
        <is>
          <t>SÖDERKÖPING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46293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46293</v>
      </c>
      <c r="F340" t="inlineStr">
        <is>
          <t>ÖSTERGÖTLANDS LÄN</t>
        </is>
      </c>
      <c r="G340" t="inlineStr">
        <is>
          <t>SÖDERKÖPING</t>
        </is>
      </c>
      <c r="I340" t="n">
        <v>13.8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46293</v>
      </c>
      <c r="F341" t="inlineStr">
        <is>
          <t>ÖSTERGÖTLANDS LÄN</t>
        </is>
      </c>
      <c r="G341" t="inlineStr">
        <is>
          <t>SÖDERKÖPING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45792</v>
      </c>
      <c r="E342" s="1" t="n">
        <v>46293</v>
      </c>
      <c r="F342" t="inlineStr">
        <is>
          <t>ÖSTERGÖTLANDS LÄN</t>
        </is>
      </c>
      <c r="G342" t="inlineStr">
        <is>
          <t>SÖDERKÖPING</t>
        </is>
      </c>
      <c r="I342" t="n">
        <v>12.2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4766-2024</t>
        </is>
      </c>
      <c r="B343" t="inlineStr">
        <is>
          <t>samrådsanmälan</t>
        </is>
      </c>
      <c r="C343" t="inlineStr">
        <is>
          <t>Åtgärd i nyckelbiotop</t>
        </is>
      </c>
      <c r="D343" s="1" t="n">
        <v>45610</v>
      </c>
      <c r="E343" s="1" t="n">
        <v>46293</v>
      </c>
      <c r="F343" t="inlineStr">
        <is>
          <t>ÖSTERGÖTLANDS LÄN</t>
        </is>
      </c>
      <c r="G343" t="inlineStr">
        <is>
          <t>SÖDERKÖPING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3958-2024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45567</v>
      </c>
      <c r="E344" s="1" t="n">
        <v>46293</v>
      </c>
      <c r="F344" t="inlineStr">
        <is>
          <t>ÖSTERGÖTLANDS LÄN</t>
        </is>
      </c>
      <c r="G344" t="inlineStr">
        <is>
          <t>SÖDERKÖPING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4052-2023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45246</v>
      </c>
      <c r="E345" s="1" t="n">
        <v>46293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1568-2024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45426</v>
      </c>
      <c r="E346" s="1" t="n">
        <v>46293</v>
      </c>
      <c r="F346" t="inlineStr">
        <is>
          <t>ÖSTERGÖTLANDS LÄN</t>
        </is>
      </c>
      <c r="G346" t="inlineStr">
        <is>
          <t>SÖDERKÖPING</t>
        </is>
      </c>
      <c r="I346" t="n">
        <v>29.3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3312-2023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45195</v>
      </c>
      <c r="E347" s="1" t="n">
        <v>46293</v>
      </c>
      <c r="F347" t="inlineStr">
        <is>
          <t>ÖSTERGÖTLANDS LÄN</t>
        </is>
      </c>
      <c r="G347" t="inlineStr">
        <is>
          <t>SÖDERKÖPING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1540-2026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46168</v>
      </c>
      <c r="E348" s="1" t="n">
        <v>46293</v>
      </c>
      <c r="F348" t="inlineStr">
        <is>
          <t>ÖSTERGÖTLANDS LÄN</t>
        </is>
      </c>
      <c r="G348" t="inlineStr">
        <is>
          <t>SÖDERKÖPING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2026-09-28T01:58:38Z</dcterms:created>
  <dcterms:modified xmlns:dcterms="http://purl.org/dc/terms/" xmlns:xsi="http://www.w3.org/2001/XMLSchema-instance" xsi:type="dcterms:W3CDTF">2026-09-28T01:58:38Z</dcterms:modified>
</cp:coreProperties>
</file>