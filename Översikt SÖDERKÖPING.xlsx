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46254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46254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46254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46254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46254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46254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46254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46254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46254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46254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46254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46254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21042-2026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46254</v>
      </c>
      <c r="F18" t="inlineStr">
        <is>
          <t>ÖSTERGÖTLANDS LÄN</t>
        </is>
      </c>
      <c r="G18" t="inlineStr">
        <is>
          <t>SÖDERKÖPING</t>
        </is>
      </c>
      <c r="I18" t="n">
        <v>0.7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 dropplav
Gulpudrad spiklav</t>
        </is>
      </c>
      <c r="W18">
        <f>HYPERLINK("https://klasma.github.io/Logging_0582/artfynd/A 21042-2026 artfynd.xlsx", "A 21042-2026")</f>
        <v/>
      </c>
      <c r="X18">
        <f>HYPERLINK("https://klasma.github.io/Logging_0582/kartor/A 21042-2026 karta.png", "A 21042-2026")</f>
        <v/>
      </c>
      <c r="Y18">
        <f>HYPERLINK("https://klasma.github.io/Logging_0582/kartor_geotiff/A 21042-2026 georefererad karta.tif", "A 21042-2026")</f>
        <v/>
      </c>
      <c r="AA18">
        <f>HYPERLINK("https://klasma.github.io/Logging_0582/klagomål/A 21042-2026 FSC-klagomål.docx", "A 21042-2026")</f>
        <v/>
      </c>
      <c r="AB18">
        <f>HYPERLINK("https://klasma.github.io/Logging_0582/klagomålsmail/A 21042-2026 FSC-klagomål mail.docx", "A 21042-2026")</f>
        <v/>
      </c>
      <c r="AC18">
        <f>HYPERLINK("https://klasma.github.io/Logging_0582/tillsyn/A 21042-2026 tillsynsbegäran.docx", "A 21042-2026")</f>
        <v/>
      </c>
      <c r="AD18">
        <f>HYPERLINK("https://klasma.github.io/Logging_0582/tillsynsmail/A 21042-2026 tillsynsbegäran mail.docx", "A 21042-2026")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46254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46254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46254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46254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46254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46254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46254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46254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46254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46254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46254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HYPERLINK("https://klasma.github.io/Logging_0582/artfynd/A 50708-2024 artfynd.xlsx", "A 50708-2024")</f>
        <v/>
      </c>
      <c r="X29">
        <f>HYPERLINK("https://klasma.github.io/Logging_0582/kartor/A 50708-2024 karta.png", "A 50708-2024")</f>
        <v/>
      </c>
      <c r="Y29">
        <f>HYPERLINK("https://klasma.github.io/Logging_0582/kartor_geotiff/A 50708-2024 georefererad karta.tif", "A 50708-2024")</f>
        <v/>
      </c>
      <c r="AA29">
        <f>HYPERLINK("https://klasma.github.io/Logging_0582/klagomål/A 50708-2024 FSC-klagomål.docx", "A 50708-2024")</f>
        <v/>
      </c>
      <c r="AB29">
        <f>HYPERLINK("https://klasma.github.io/Logging_0582/klagomålsmail/A 50708-2024 FSC-klagomål mail.docx", "A 50708-2024")</f>
        <v/>
      </c>
      <c r="AC29">
        <f>HYPERLINK("https://klasma.github.io/Logging_0582/tillsyn/A 50708-2024 tillsynsbegäran.docx", "A 50708-2024")</f>
        <v/>
      </c>
      <c r="AD29">
        <f>HYPERLINK("https://klasma.github.io/Logging_0582/tillsynsmail/A 50708-2024 tillsynsbegäran mail.docx", "A 50708-2024")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46254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46254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46254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46254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46254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46254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46254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46254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46254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46254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46254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46254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46254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46254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46254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46254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46254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46254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46254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46254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46254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46254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46254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46254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46254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46254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46254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46254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46254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46254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46254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46254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46254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46254</v>
      </c>
      <c r="F63" t="inlineStr">
        <is>
          <t>ÖSTERGÖTLANDS LÄN</t>
        </is>
      </c>
      <c r="G63" t="inlineStr">
        <is>
          <t>SÖDERKÖPING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46254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46254</v>
      </c>
      <c r="F65" t="inlineStr">
        <is>
          <t>ÖSTERGÖTLANDS LÄN</t>
        </is>
      </c>
      <c r="G65" t="inlineStr">
        <is>
          <t>SÖDERKÖPING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46254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46254</v>
      </c>
      <c r="F67" t="inlineStr">
        <is>
          <t>ÖSTERGÖTLANDS LÄN</t>
        </is>
      </c>
      <c r="G67" t="inlineStr">
        <is>
          <t>SÖDERKÖPING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46254</v>
      </c>
      <c r="F68" t="inlineStr">
        <is>
          <t>ÖSTERGÖTLANDS LÄN</t>
        </is>
      </c>
      <c r="G68" t="inlineStr">
        <is>
          <t>SÖDERKÖPING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46254</v>
      </c>
      <c r="F69" t="inlineStr">
        <is>
          <t>ÖSTERGÖTLANDS LÄN</t>
        </is>
      </c>
      <c r="G69" t="inlineStr">
        <is>
          <t>SÖDERKÖPING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44495</v>
      </c>
      <c r="E70" s="1" t="n">
        <v>46254</v>
      </c>
      <c r="F70" t="inlineStr">
        <is>
          <t>ÖSTERGÖTLANDS LÄN</t>
        </is>
      </c>
      <c r="G70" t="inlineStr">
        <is>
          <t>SÖDERKÖPING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46254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45667</v>
      </c>
      <c r="E72" s="1" t="n">
        <v>46254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46254</v>
      </c>
      <c r="F73" t="inlineStr">
        <is>
          <t>ÖSTERGÖTLANDS LÄN</t>
        </is>
      </c>
      <c r="G73" t="inlineStr">
        <is>
          <t>SÖDERKÖPING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46254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46254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45736</v>
      </c>
      <c r="E76" s="1" t="n">
        <v>46254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Holmen skog AB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46254</v>
      </c>
      <c r="F77" t="inlineStr">
        <is>
          <t>ÖSTERGÖTLANDS LÄN</t>
        </is>
      </c>
      <c r="G77" t="inlineStr">
        <is>
          <t>SÖDERKÖPING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46254</v>
      </c>
      <c r="F78" t="inlineStr">
        <is>
          <t>ÖSTERGÖTLANDS LÄN</t>
        </is>
      </c>
      <c r="G78" t="inlineStr">
        <is>
          <t>SÖDERKÖPING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44736</v>
      </c>
      <c r="E79" s="1" t="n">
        <v>46254</v>
      </c>
      <c r="F79" t="inlineStr">
        <is>
          <t>ÖSTERGÖTLANDS LÄN</t>
        </is>
      </c>
      <c r="G79" t="inlineStr">
        <is>
          <t>SÖDERKÖPING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45663</v>
      </c>
      <c r="E80" s="1" t="n">
        <v>46254</v>
      </c>
      <c r="F80" t="inlineStr">
        <is>
          <t>ÖSTERGÖTLANDS LÄN</t>
        </is>
      </c>
      <c r="G80" t="inlineStr">
        <is>
          <t>SÖDERKÖPING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45190</v>
      </c>
      <c r="E81" s="1" t="n">
        <v>46254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25790-2023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45090</v>
      </c>
      <c r="E82" s="1" t="n">
        <v>46254</v>
      </c>
      <c r="F82" t="inlineStr">
        <is>
          <t>ÖSTERGÖTLANDS LÄN</t>
        </is>
      </c>
      <c r="G82" t="inlineStr">
        <is>
          <t>SÖDERKÖPING</t>
        </is>
      </c>
      <c r="I82" t="n">
        <v>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46254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46254</v>
      </c>
      <c r="F84" t="inlineStr">
        <is>
          <t>ÖSTERGÖTLANDS LÄN</t>
        </is>
      </c>
      <c r="G84" t="inlineStr">
        <is>
          <t>SÖDERKÖPING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46254</v>
      </c>
      <c r="F85" t="inlineStr">
        <is>
          <t>ÖSTERGÖTLANDS LÄN</t>
        </is>
      </c>
      <c r="G85" t="inlineStr">
        <is>
          <t>SÖDERKÖPING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46254</v>
      </c>
      <c r="F86" t="inlineStr">
        <is>
          <t>ÖSTERGÖTLANDS LÄN</t>
        </is>
      </c>
      <c r="G86" t="inlineStr">
        <is>
          <t>SÖDERKÖPING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46254</v>
      </c>
      <c r="F87" t="inlineStr">
        <is>
          <t>ÖSTERGÖTLANDS LÄN</t>
        </is>
      </c>
      <c r="G87" t="inlineStr">
        <is>
          <t>SÖDERKÖPING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46254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44734</v>
      </c>
      <c r="E89" s="1" t="n">
        <v>46254</v>
      </c>
      <c r="F89" t="inlineStr">
        <is>
          <t>ÖSTERGÖTLANDS LÄN</t>
        </is>
      </c>
      <c r="G89" t="inlineStr">
        <is>
          <t>SÖDERKÖPING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46254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Holmen skog AB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46254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46254</v>
      </c>
      <c r="F92" t="inlineStr">
        <is>
          <t>ÖSTERGÖTLANDS LÄN</t>
        </is>
      </c>
      <c r="G92" t="inlineStr">
        <is>
          <t>SÖDERKÖPING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46254</v>
      </c>
      <c r="F93" t="inlineStr">
        <is>
          <t>ÖSTERGÖTLANDS LÄN</t>
        </is>
      </c>
      <c r="G93" t="inlineStr">
        <is>
          <t>SÖDERKÖPING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46254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46254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45190</v>
      </c>
      <c r="E96" s="1" t="n">
        <v>46254</v>
      </c>
      <c r="F96" t="inlineStr">
        <is>
          <t>ÖSTERGÖTLANDS LÄN</t>
        </is>
      </c>
      <c r="G96" t="inlineStr">
        <is>
          <t>SÖDERKÖPING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46254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46254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Holmen skog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46254</v>
      </c>
      <c r="F99" t="inlineStr">
        <is>
          <t>ÖSTERGÖTLANDS LÄN</t>
        </is>
      </c>
      <c r="G99" t="inlineStr">
        <is>
          <t>SÖDERKÖPING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46254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45279</v>
      </c>
      <c r="E101" s="1" t="n">
        <v>46254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44775</v>
      </c>
      <c r="E102" s="1" t="n">
        <v>46254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46254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Allmännings- och besparingsskogar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46254</v>
      </c>
      <c r="F104" t="inlineStr">
        <is>
          <t>ÖSTERGÖTLANDS LÄN</t>
        </is>
      </c>
      <c r="G104" t="inlineStr">
        <is>
          <t>SÖDERKÖPING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46254</v>
      </c>
      <c r="F105" t="inlineStr">
        <is>
          <t>ÖSTERGÖTLANDS LÄN</t>
        </is>
      </c>
      <c r="G105" t="inlineStr">
        <is>
          <t>SÖDERKÖPING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46254</v>
      </c>
      <c r="F106" t="inlineStr">
        <is>
          <t>ÖSTERGÖTLANDS LÄN</t>
        </is>
      </c>
      <c r="G106" t="inlineStr">
        <is>
          <t>SÖDERKÖPING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44965</v>
      </c>
      <c r="E107" s="1" t="n">
        <v>46254</v>
      </c>
      <c r="F107" t="inlineStr">
        <is>
          <t>ÖSTERGÖTLANDS LÄN</t>
        </is>
      </c>
      <c r="G107" t="inlineStr">
        <is>
          <t>SÖDERKÖPING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46254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Holmen skog AB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46254</v>
      </c>
      <c r="F109" t="inlineStr">
        <is>
          <t>ÖSTERGÖTLANDS LÄN</t>
        </is>
      </c>
      <c r="G109" t="inlineStr">
        <is>
          <t>SÖDERKÖPING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45106</v>
      </c>
      <c r="E110" s="1" t="n">
        <v>46254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45119</v>
      </c>
      <c r="E111" s="1" t="n">
        <v>46254</v>
      </c>
      <c r="F111" t="inlineStr">
        <is>
          <t>ÖSTERGÖTLANDS LÄN</t>
        </is>
      </c>
      <c r="G111" t="inlineStr">
        <is>
          <t>SÖDERKÖPING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46254</v>
      </c>
      <c r="F112" t="inlineStr">
        <is>
          <t>ÖSTERGÖTLANDS LÄN</t>
        </is>
      </c>
      <c r="G112" t="inlineStr">
        <is>
          <t>SÖDERKÖPING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45159</v>
      </c>
      <c r="E113" s="1" t="n">
        <v>46254</v>
      </c>
      <c r="F113" t="inlineStr">
        <is>
          <t>ÖSTERGÖTLANDS LÄN</t>
        </is>
      </c>
      <c r="G113" t="inlineStr">
        <is>
          <t>SÖDERKÖPING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46254</v>
      </c>
      <c r="F114" t="inlineStr">
        <is>
          <t>ÖSTERGÖTLANDS LÄN</t>
        </is>
      </c>
      <c r="G114" t="inlineStr">
        <is>
          <t>SÖDERKÖPING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45197</v>
      </c>
      <c r="E115" s="1" t="n">
        <v>46254</v>
      </c>
      <c r="F115" t="inlineStr">
        <is>
          <t>ÖSTERGÖTLANDS LÄN</t>
        </is>
      </c>
      <c r="G115" t="inlineStr">
        <is>
          <t>SÖDERKÖPING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46254</v>
      </c>
      <c r="F116" t="inlineStr">
        <is>
          <t>ÖSTERGÖTLANDS LÄN</t>
        </is>
      </c>
      <c r="G116" t="inlineStr">
        <is>
          <t>SÖDERKÖPING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46254</v>
      </c>
      <c r="F117" t="inlineStr">
        <is>
          <t>ÖSTERGÖTLANDS LÄN</t>
        </is>
      </c>
      <c r="G117" t="inlineStr">
        <is>
          <t>SÖDERKÖPING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46254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46254</v>
      </c>
      <c r="F119" t="inlineStr">
        <is>
          <t>ÖSTERGÖTLANDS LÄN</t>
        </is>
      </c>
      <c r="G119" t="inlineStr">
        <is>
          <t>SÖDERKÖPING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46254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45734</v>
      </c>
      <c r="E121" s="1" t="n">
        <v>46254</v>
      </c>
      <c r="F121" t="inlineStr">
        <is>
          <t>ÖSTERGÖTLANDS LÄN</t>
        </is>
      </c>
      <c r="G121" t="inlineStr">
        <is>
          <t>SÖDERKÖPING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46254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46254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45376</v>
      </c>
      <c r="E124" s="1" t="n">
        <v>46254</v>
      </c>
      <c r="F124" t="inlineStr">
        <is>
          <t>ÖSTERGÖTLANDS LÄN</t>
        </is>
      </c>
      <c r="G124" t="inlineStr">
        <is>
          <t>SÖDERKÖPING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46254</v>
      </c>
      <c r="F125" t="inlineStr">
        <is>
          <t>ÖSTERGÖTLANDS LÄN</t>
        </is>
      </c>
      <c r="G125" t="inlineStr">
        <is>
          <t>SÖDERKÖPING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46254</v>
      </c>
      <c r="F126" t="inlineStr">
        <is>
          <t>ÖSTERGÖTLANDS LÄN</t>
        </is>
      </c>
      <c r="G126" t="inlineStr">
        <is>
          <t>SÖDERKÖPING</t>
        </is>
      </c>
      <c r="I126" t="n">
        <v>26.6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46254</v>
      </c>
      <c r="F127" t="inlineStr">
        <is>
          <t>ÖSTERGÖTLANDS LÄN</t>
        </is>
      </c>
      <c r="G127" t="inlineStr">
        <is>
          <t>SÖDERKÖPING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46254</v>
      </c>
      <c r="F128" t="inlineStr">
        <is>
          <t>ÖSTERGÖTLANDS LÄN</t>
        </is>
      </c>
      <c r="G128" t="inlineStr">
        <is>
          <t>SÖDERKÖPING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46254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46254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46254</v>
      </c>
      <c r="F131" t="inlineStr">
        <is>
          <t>ÖSTERGÖTLANDS LÄN</t>
        </is>
      </c>
      <c r="G131" t="inlineStr">
        <is>
          <t>SÖDERKÖPING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46254</v>
      </c>
      <c r="F132" t="inlineStr">
        <is>
          <t>ÖSTERGÖTLANDS LÄN</t>
        </is>
      </c>
      <c r="G132" t="inlineStr">
        <is>
          <t>SÖDERKÖPING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46254</v>
      </c>
      <c r="F133" t="inlineStr">
        <is>
          <t>ÖSTERGÖTLANDS LÄN</t>
        </is>
      </c>
      <c r="G133" t="inlineStr">
        <is>
          <t>SÖDERKÖPING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46254</v>
      </c>
      <c r="F134" t="inlineStr">
        <is>
          <t>ÖSTERGÖTLANDS LÄN</t>
        </is>
      </c>
      <c r="G134" t="inlineStr">
        <is>
          <t>SÖDERKÖPING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46254</v>
      </c>
      <c r="F135" t="inlineStr">
        <is>
          <t>ÖSTERGÖTLANDS LÄN</t>
        </is>
      </c>
      <c r="G135" t="inlineStr">
        <is>
          <t>SÖDERKÖPING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45504</v>
      </c>
      <c r="E136" s="1" t="n">
        <v>46254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46254</v>
      </c>
      <c r="F137" t="inlineStr">
        <is>
          <t>ÖSTERGÖTLANDS LÄN</t>
        </is>
      </c>
      <c r="G137" t="inlineStr">
        <is>
          <t>SÖDERKÖPING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46254</v>
      </c>
      <c r="F138" t="inlineStr">
        <is>
          <t>ÖSTERGÖTLANDS LÄN</t>
        </is>
      </c>
      <c r="G138" t="inlineStr">
        <is>
          <t>SÖDERKÖPING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46254</v>
      </c>
      <c r="F139" t="inlineStr">
        <is>
          <t>ÖSTERGÖTLANDS LÄN</t>
        </is>
      </c>
      <c r="G139" t="inlineStr">
        <is>
          <t>SÖDERKÖPING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46254</v>
      </c>
      <c r="F140" t="inlineStr">
        <is>
          <t>ÖSTERGÖTLANDS LÄN</t>
        </is>
      </c>
      <c r="G140" t="inlineStr">
        <is>
          <t>SÖDERKÖPING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46254</v>
      </c>
      <c r="F141" t="inlineStr">
        <is>
          <t>ÖSTERGÖTLANDS LÄN</t>
        </is>
      </c>
      <c r="G141" t="inlineStr">
        <is>
          <t>SÖDERKÖPING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46254</v>
      </c>
      <c r="F142" t="inlineStr">
        <is>
          <t>ÖSTERGÖTLANDS LÄN</t>
        </is>
      </c>
      <c r="G142" t="inlineStr">
        <is>
          <t>SÖDERKÖPING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46254</v>
      </c>
      <c r="F143" t="inlineStr">
        <is>
          <t>ÖSTERGÖTLANDS LÄN</t>
        </is>
      </c>
      <c r="G143" t="inlineStr">
        <is>
          <t>SÖDERKÖPING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44796</v>
      </c>
      <c r="E144" s="1" t="n">
        <v>46254</v>
      </c>
      <c r="F144" t="inlineStr">
        <is>
          <t>ÖSTERGÖTLANDS LÄN</t>
        </is>
      </c>
      <c r="G144" t="inlineStr">
        <is>
          <t>SÖDERKÖPING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45399</v>
      </c>
      <c r="E145" s="1" t="n">
        <v>46254</v>
      </c>
      <c r="F145" t="inlineStr">
        <is>
          <t>ÖSTERGÖTLANDS LÄN</t>
        </is>
      </c>
      <c r="G145" t="inlineStr">
        <is>
          <t>SÖDERKÖPING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45684</v>
      </c>
      <c r="E146" s="1" t="n">
        <v>46254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42768-2025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46254</v>
      </c>
      <c r="F147" t="inlineStr">
        <is>
          <t>ÖSTERGÖTLANDS LÄN</t>
        </is>
      </c>
      <c r="G147" t="inlineStr">
        <is>
          <t>SÖDERKÖPING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44531</v>
      </c>
      <c r="E148" s="1" t="n">
        <v>46254</v>
      </c>
      <c r="F148" t="inlineStr">
        <is>
          <t>ÖSTERGÖTLANDS LÄN</t>
        </is>
      </c>
      <c r="G148" t="inlineStr">
        <is>
          <t>SÖDERKÖPING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45701</v>
      </c>
      <c r="E149" s="1" t="n">
        <v>46254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46254</v>
      </c>
      <c r="F150" t="inlineStr">
        <is>
          <t>ÖSTERGÖTLANDS LÄN</t>
        </is>
      </c>
      <c r="G150" t="inlineStr">
        <is>
          <t>SÖDERKÖPING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46254</v>
      </c>
      <c r="F151" t="inlineStr">
        <is>
          <t>ÖSTERGÖTLANDS LÄN</t>
        </is>
      </c>
      <c r="G151" t="inlineStr">
        <is>
          <t>SÖDERKÖPING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46254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Allmännings- och besparingsskogar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46254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45426</v>
      </c>
      <c r="E154" s="1" t="n">
        <v>46254</v>
      </c>
      <c r="F154" t="inlineStr">
        <is>
          <t>ÖSTERGÖTLANDS LÄN</t>
        </is>
      </c>
      <c r="G154" t="inlineStr">
        <is>
          <t>SÖDERKÖPING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46254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45648-2025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45923</v>
      </c>
      <c r="E156" s="1" t="n">
        <v>46254</v>
      </c>
      <c r="F156" t="inlineStr">
        <is>
          <t>ÖSTERGÖTLANDS LÄN</t>
        </is>
      </c>
      <c r="G156" t="inlineStr">
        <is>
          <t>SÖDERKÖPING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45922</v>
      </c>
      <c r="E157" s="1" t="n">
        <v>46254</v>
      </c>
      <c r="F157" t="inlineStr">
        <is>
          <t>ÖSTERGÖTLANDS LÄN</t>
        </is>
      </c>
      <c r="G157" t="inlineStr">
        <is>
          <t>SÖDERKÖPING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66362-2021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44518</v>
      </c>
      <c r="E158" s="1" t="n">
        <v>46254</v>
      </c>
      <c r="F158" t="inlineStr">
        <is>
          <t>ÖSTERGÖTLANDS LÄN</t>
        </is>
      </c>
      <c r="G158" t="inlineStr">
        <is>
          <t>SÖDERKÖPING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46254</v>
      </c>
      <c r="F159" t="inlineStr">
        <is>
          <t>ÖSTERGÖTLANDS LÄN</t>
        </is>
      </c>
      <c r="G159" t="inlineStr">
        <is>
          <t>SÖDERKÖPING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45546</v>
      </c>
      <c r="E160" s="1" t="n">
        <v>46254</v>
      </c>
      <c r="F160" t="inlineStr">
        <is>
          <t>ÖSTERGÖTLANDS LÄN</t>
        </is>
      </c>
      <c r="G160" t="inlineStr">
        <is>
          <t>SÖDERKÖPING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46254</v>
      </c>
      <c r="F161" t="inlineStr">
        <is>
          <t>ÖSTERGÖTLANDS LÄN</t>
        </is>
      </c>
      <c r="G161" t="inlineStr">
        <is>
          <t>SÖDERKÖPING</t>
        </is>
      </c>
      <c r="H161" t="inlineStr">
        <is>
          <t>Holmen skog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46254</v>
      </c>
      <c r="F162" t="inlineStr">
        <is>
          <t>ÖSTERGÖTLANDS LÄN</t>
        </is>
      </c>
      <c r="G162" t="inlineStr">
        <is>
          <t>SÖDERKÖPING</t>
        </is>
      </c>
      <c r="H162" t="inlineStr">
        <is>
          <t>Holmen skog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46254</v>
      </c>
      <c r="F163" t="inlineStr">
        <is>
          <t>ÖSTERGÖTLANDS LÄN</t>
        </is>
      </c>
      <c r="G163" t="inlineStr">
        <is>
          <t>SÖDERKÖPING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45106</v>
      </c>
      <c r="E164" s="1" t="n">
        <v>46254</v>
      </c>
      <c r="F164" t="inlineStr">
        <is>
          <t>ÖSTERGÖTLANDS LÄN</t>
        </is>
      </c>
      <c r="G164" t="inlineStr">
        <is>
          <t>SÖDERKÖPING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46254</v>
      </c>
      <c r="F165" t="inlineStr">
        <is>
          <t>ÖSTERGÖTLANDS LÄN</t>
        </is>
      </c>
      <c r="G165" t="inlineStr">
        <is>
          <t>SÖDERKÖPING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45926</v>
      </c>
      <c r="E166" s="1" t="n">
        <v>46254</v>
      </c>
      <c r="F166" t="inlineStr">
        <is>
          <t>ÖSTERGÖTLANDS LÄN</t>
        </is>
      </c>
      <c r="G166" t="inlineStr">
        <is>
          <t>SÖDERKÖPING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46254</v>
      </c>
      <c r="F167" t="inlineStr">
        <is>
          <t>ÖSTERGÖTLANDS LÄN</t>
        </is>
      </c>
      <c r="G167" t="inlineStr">
        <is>
          <t>SÖDERKÖPING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46254</v>
      </c>
      <c r="F168" t="inlineStr">
        <is>
          <t>ÖSTERGÖTLANDS LÄN</t>
        </is>
      </c>
      <c r="G168" t="inlineStr">
        <is>
          <t>SÖDERKÖPING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46254</v>
      </c>
      <c r="F169" t="inlineStr">
        <is>
          <t>ÖSTERGÖTLANDS LÄN</t>
        </is>
      </c>
      <c r="G169" t="inlineStr">
        <is>
          <t>SÖDERKÖPING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46254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46254</v>
      </c>
      <c r="F171" t="inlineStr">
        <is>
          <t>ÖSTERGÖTLANDS LÄN</t>
        </is>
      </c>
      <c r="G171" t="inlineStr">
        <is>
          <t>SÖDERKÖPING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46254</v>
      </c>
      <c r="F172" t="inlineStr">
        <is>
          <t>ÖSTERGÖTLANDS LÄN</t>
        </is>
      </c>
      <c r="G172" t="inlineStr">
        <is>
          <t>SÖDERKÖPING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46254</v>
      </c>
      <c r="F173" t="inlineStr">
        <is>
          <t>ÖSTERGÖTLANDS LÄN</t>
        </is>
      </c>
      <c r="G173" t="inlineStr">
        <is>
          <t>SÖDERKÖPING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46254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46254</v>
      </c>
      <c r="F175" t="inlineStr">
        <is>
          <t>ÖSTERGÖTLANDS LÄN</t>
        </is>
      </c>
      <c r="G175" t="inlineStr">
        <is>
          <t>SÖDERKÖPING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46254</v>
      </c>
      <c r="F176" t="inlineStr">
        <is>
          <t>ÖSTERGÖTLANDS LÄN</t>
        </is>
      </c>
      <c r="G176" t="inlineStr">
        <is>
          <t>SÖDERKÖPING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46219</v>
      </c>
      <c r="E177" s="1" t="n">
        <v>46254</v>
      </c>
      <c r="F177" t="inlineStr">
        <is>
          <t>ÖSTERGÖTLANDS LÄN</t>
        </is>
      </c>
      <c r="G177" t="inlineStr">
        <is>
          <t>SÖDERKÖPING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46254</v>
      </c>
      <c r="F178" t="inlineStr">
        <is>
          <t>ÖSTERGÖTLANDS LÄN</t>
        </is>
      </c>
      <c r="G178" t="inlineStr">
        <is>
          <t>SÖDERKÖPING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46254</v>
      </c>
      <c r="F179" t="inlineStr">
        <is>
          <t>ÖSTERGÖTLANDS LÄN</t>
        </is>
      </c>
      <c r="G179" t="inlineStr">
        <is>
          <t>SÖDERKÖPING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46254</v>
      </c>
      <c r="F180" t="inlineStr">
        <is>
          <t>ÖSTERGÖTLANDS LÄN</t>
        </is>
      </c>
      <c r="G180" t="inlineStr">
        <is>
          <t>SÖDERKÖPING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45667</v>
      </c>
      <c r="E181" s="1" t="n">
        <v>46254</v>
      </c>
      <c r="F181" t="inlineStr">
        <is>
          <t>ÖSTERGÖTLANDS LÄN</t>
        </is>
      </c>
      <c r="G181" t="inlineStr">
        <is>
          <t>SÖDERKÖPING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22208-2026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46254</v>
      </c>
      <c r="F182" t="inlineStr">
        <is>
          <t>ÖSTERGÖTLANDS LÄN</t>
        </is>
      </c>
      <c r="G182" t="inlineStr">
        <is>
          <t>SÖDERKÖPING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46254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Allmännings- och besparingsskogar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46254</v>
      </c>
      <c r="F184" t="inlineStr">
        <is>
          <t>ÖSTERGÖTLANDS LÄN</t>
        </is>
      </c>
      <c r="G184" t="inlineStr">
        <is>
          <t>SÖDERKÖPING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26439-2026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46183</v>
      </c>
      <c r="E185" s="1" t="n">
        <v>46254</v>
      </c>
      <c r="F185" t="inlineStr">
        <is>
          <t>ÖSTERGÖTLANDS LÄN</t>
        </is>
      </c>
      <c r="G185" t="inlineStr">
        <is>
          <t>SÖDERKÖPING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46254</v>
      </c>
      <c r="F186" t="inlineStr">
        <is>
          <t>ÖSTERGÖTLANDS LÄN</t>
        </is>
      </c>
      <c r="G186" t="inlineStr">
        <is>
          <t>SÖDERKÖPING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46254</v>
      </c>
      <c r="F187" t="inlineStr">
        <is>
          <t>ÖSTERGÖTLANDS LÄN</t>
        </is>
      </c>
      <c r="G187" t="inlineStr">
        <is>
          <t>SÖDERKÖPING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46254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46254</v>
      </c>
      <c r="F189" t="inlineStr">
        <is>
          <t>ÖSTERGÖTLANDS LÄN</t>
        </is>
      </c>
      <c r="G189" t="inlineStr">
        <is>
          <t>SÖDERKÖPING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46254</v>
      </c>
      <c r="F190" t="inlineStr">
        <is>
          <t>ÖSTERGÖTLANDS LÄN</t>
        </is>
      </c>
      <c r="G190" t="inlineStr">
        <is>
          <t>SÖDERKÖPING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46254</v>
      </c>
      <c r="F191" t="inlineStr">
        <is>
          <t>ÖSTERGÖTLANDS LÄN</t>
        </is>
      </c>
      <c r="G191" t="inlineStr">
        <is>
          <t>SÖDERKÖPING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46227</v>
      </c>
      <c r="E192" s="1" t="n">
        <v>46254</v>
      </c>
      <c r="F192" t="inlineStr">
        <is>
          <t>ÖSTERGÖTLANDS LÄN</t>
        </is>
      </c>
      <c r="G192" t="inlineStr">
        <is>
          <t>SÖDERKÖPING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46227</v>
      </c>
      <c r="E193" s="1" t="n">
        <v>46254</v>
      </c>
      <c r="F193" t="inlineStr">
        <is>
          <t>ÖSTERGÖTLANDS LÄN</t>
        </is>
      </c>
      <c r="G193" t="inlineStr">
        <is>
          <t>SÖDERKÖPING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46227</v>
      </c>
      <c r="E194" s="1" t="n">
        <v>46254</v>
      </c>
      <c r="F194" t="inlineStr">
        <is>
          <t>ÖSTERGÖTLANDS LÄN</t>
        </is>
      </c>
      <c r="G194" t="inlineStr">
        <is>
          <t>SÖDERKÖPING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46155</v>
      </c>
      <c r="E195" s="1" t="n">
        <v>46254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Kommuner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46254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46254</v>
      </c>
      <c r="F197" t="inlineStr">
        <is>
          <t>ÖSTERGÖTLANDS LÄN</t>
        </is>
      </c>
      <c r="G197" t="inlineStr">
        <is>
          <t>SÖDERKÖPING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46254</v>
      </c>
      <c r="F198" t="inlineStr">
        <is>
          <t>ÖSTERGÖTLANDS LÄN</t>
        </is>
      </c>
      <c r="G198" t="inlineStr">
        <is>
          <t>SÖDERKÖPING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46254</v>
      </c>
      <c r="F199" t="inlineStr">
        <is>
          <t>ÖSTERGÖTLANDS LÄN</t>
        </is>
      </c>
      <c r="G199" t="inlineStr">
        <is>
          <t>SÖDERKÖPING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46254</v>
      </c>
      <c r="F200" t="inlineStr">
        <is>
          <t>ÖSTERGÖTLANDS LÄN</t>
        </is>
      </c>
      <c r="G200" t="inlineStr">
        <is>
          <t>SÖDERKÖPING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54787-2022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46254</v>
      </c>
      <c r="F201" t="inlineStr">
        <is>
          <t>ÖSTERGÖTLANDS LÄN</t>
        </is>
      </c>
      <c r="G201" t="inlineStr">
        <is>
          <t>SÖDERKÖPING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45194</v>
      </c>
      <c r="E202" s="1" t="n">
        <v>46254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45190</v>
      </c>
      <c r="E203" s="1" t="n">
        <v>46254</v>
      </c>
      <c r="F203" t="inlineStr">
        <is>
          <t>ÖSTERGÖTLANDS LÄN</t>
        </is>
      </c>
      <c r="G203" t="inlineStr">
        <is>
          <t>SÖDERKÖPING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46241</v>
      </c>
      <c r="E204" s="1" t="n">
        <v>46254</v>
      </c>
      <c r="F204" t="inlineStr">
        <is>
          <t>ÖSTERGÖTLANDS LÄN</t>
        </is>
      </c>
      <c r="G204" t="inlineStr">
        <is>
          <t>SÖDERKÖPING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46254</v>
      </c>
      <c r="F205" t="inlineStr">
        <is>
          <t>ÖSTERGÖTLANDS LÄN</t>
        </is>
      </c>
      <c r="G205" t="inlineStr">
        <is>
          <t>SÖDERKÖPING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46241</v>
      </c>
      <c r="E206" s="1" t="n">
        <v>46254</v>
      </c>
      <c r="F206" t="inlineStr">
        <is>
          <t>ÖSTERGÖTLANDS LÄN</t>
        </is>
      </c>
      <c r="G206" t="inlineStr">
        <is>
          <t>SÖDERKÖPING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44956</v>
      </c>
      <c r="E207" s="1" t="n">
        <v>46254</v>
      </c>
      <c r="F207" t="inlineStr">
        <is>
          <t>ÖSTERGÖTLANDS LÄN</t>
        </is>
      </c>
      <c r="G207" t="inlineStr">
        <is>
          <t>SÖDERKÖPING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44911</v>
      </c>
      <c r="E208" s="1" t="n">
        <v>46254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64825-2023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46254</v>
      </c>
      <c r="F209" t="inlineStr">
        <is>
          <t>ÖSTERGÖTLANDS LÄN</t>
        </is>
      </c>
      <c r="G209" t="inlineStr">
        <is>
          <t>SÖDERKÖPING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46254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46254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46254</v>
      </c>
      <c r="F212" t="inlineStr">
        <is>
          <t>ÖSTERGÖTLANDS LÄN</t>
        </is>
      </c>
      <c r="G212" t="inlineStr">
        <is>
          <t>SÖDERKÖPING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46254</v>
      </c>
      <c r="F213" t="inlineStr">
        <is>
          <t>ÖSTERGÖTLANDS LÄN</t>
        </is>
      </c>
      <c r="G213" t="inlineStr">
        <is>
          <t>SÖDERKÖPING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46254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46206</v>
      </c>
      <c r="E215" s="1" t="n">
        <v>46254</v>
      </c>
      <c r="F215" t="inlineStr">
        <is>
          <t>ÖSTERGÖTLANDS LÄN</t>
        </is>
      </c>
      <c r="G215" t="inlineStr">
        <is>
          <t>SÖDERKÖPING</t>
        </is>
      </c>
      <c r="I215" t="n">
        <v>18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46254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50050-2023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45215</v>
      </c>
      <c r="E217" s="1" t="n">
        <v>46254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46248</v>
      </c>
      <c r="E218" s="1" t="n">
        <v>46254</v>
      </c>
      <c r="F218" t="inlineStr">
        <is>
          <t>ÖSTERGÖTLANDS LÄN</t>
        </is>
      </c>
      <c r="G218" t="inlineStr">
        <is>
          <t>SÖDERKÖPING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46254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46254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46254</v>
      </c>
      <c r="F221" t="inlineStr">
        <is>
          <t>ÖSTERGÖTLANDS LÄN</t>
        </is>
      </c>
      <c r="G221" t="inlineStr">
        <is>
          <t>SÖDERKÖPING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45344</v>
      </c>
      <c r="E222" s="1" t="n">
        <v>46254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46254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46254</v>
      </c>
      <c r="F224" t="inlineStr">
        <is>
          <t>ÖSTERGÖTLANDS LÄN</t>
        </is>
      </c>
      <c r="G224" t="inlineStr">
        <is>
          <t>SÖDERKÖPING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44711</v>
      </c>
      <c r="E225" s="1" t="n">
        <v>46254</v>
      </c>
      <c r="F225" t="inlineStr">
        <is>
          <t>ÖSTERGÖTLANDS LÄN</t>
        </is>
      </c>
      <c r="G225" t="inlineStr">
        <is>
          <t>SÖDERKÖPING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46254</v>
      </c>
      <c r="F226" t="inlineStr">
        <is>
          <t>ÖSTERGÖTLANDS LÄN</t>
        </is>
      </c>
      <c r="G226" t="inlineStr">
        <is>
          <t>SÖDERKÖPING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44618</v>
      </c>
      <c r="E227" s="1" t="n">
        <v>46254</v>
      </c>
      <c r="F227" t="inlineStr">
        <is>
          <t>ÖSTERGÖTLANDS LÄN</t>
        </is>
      </c>
      <c r="G227" t="inlineStr">
        <is>
          <t>SÖDERKÖPING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46254</v>
      </c>
      <c r="F228" t="inlineStr">
        <is>
          <t>ÖSTERGÖTLANDS LÄN</t>
        </is>
      </c>
      <c r="G228" t="inlineStr">
        <is>
          <t>SÖDERKÖPING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45293</v>
      </c>
      <c r="E229" s="1" t="n">
        <v>46254</v>
      </c>
      <c r="F229" t="inlineStr">
        <is>
          <t>ÖSTERGÖTLANDS LÄN</t>
        </is>
      </c>
      <c r="G229" t="inlineStr">
        <is>
          <t>SÖDERKÖPING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46254</v>
      </c>
      <c r="F230" t="inlineStr">
        <is>
          <t>ÖSTERGÖTLANDS LÄN</t>
        </is>
      </c>
      <c r="G230" t="inlineStr">
        <is>
          <t>SÖDERKÖPING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46254</v>
      </c>
      <c r="F231" t="inlineStr">
        <is>
          <t>ÖSTERGÖTLANDS LÄN</t>
        </is>
      </c>
      <c r="G231" t="inlineStr">
        <is>
          <t>SÖDERKÖPING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45181</v>
      </c>
      <c r="E232" s="1" t="n">
        <v>46254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46254</v>
      </c>
      <c r="F233" t="inlineStr">
        <is>
          <t>ÖSTERGÖTLANDS LÄN</t>
        </is>
      </c>
      <c r="G233" t="inlineStr">
        <is>
          <t>SÖDERKÖPING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46008</v>
      </c>
      <c r="E234" s="1" t="n">
        <v>46254</v>
      </c>
      <c r="F234" t="inlineStr">
        <is>
          <t>ÖSTERGÖTLANDS LÄN</t>
        </is>
      </c>
      <c r="G234" t="inlineStr">
        <is>
          <t>SÖDERKÖPING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46008</v>
      </c>
      <c r="E235" s="1" t="n">
        <v>46254</v>
      </c>
      <c r="F235" t="inlineStr">
        <is>
          <t>ÖSTERGÖTLANDS LÄN</t>
        </is>
      </c>
      <c r="G235" t="inlineStr">
        <is>
          <t>SÖDERKÖPING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53889-2021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46254</v>
      </c>
      <c r="F236" t="inlineStr">
        <is>
          <t>ÖSTERGÖTLANDS LÄN</t>
        </is>
      </c>
      <c r="G236" t="inlineStr">
        <is>
          <t>SÖDERKÖPING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45208</v>
      </c>
      <c r="E237" s="1" t="n">
        <v>46254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46254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Allmännings- och besparingsskogar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45614</v>
      </c>
      <c r="E239" s="1" t="n">
        <v>46254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46254</v>
      </c>
      <c r="F240" t="inlineStr">
        <is>
          <t>ÖSTERGÖTLANDS LÄN</t>
        </is>
      </c>
      <c r="G240" t="inlineStr">
        <is>
          <t>SÖDERKÖPING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45187</v>
      </c>
      <c r="E241" s="1" t="n">
        <v>46254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46254</v>
      </c>
      <c r="F242" t="inlineStr">
        <is>
          <t>ÖSTERGÖTLANDS LÄN</t>
        </is>
      </c>
      <c r="G242" t="inlineStr">
        <is>
          <t>SÖDERKÖPING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45295</v>
      </c>
      <c r="E243" s="1" t="n">
        <v>46254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46254</v>
      </c>
      <c r="F244" t="inlineStr">
        <is>
          <t>ÖSTERGÖTLANDS LÄN</t>
        </is>
      </c>
      <c r="G244" t="inlineStr">
        <is>
          <t>SÖDERKÖPING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20967-2023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45061</v>
      </c>
      <c r="E245" s="1" t="n">
        <v>46254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46254</v>
      </c>
      <c r="F246" t="inlineStr">
        <is>
          <t>ÖSTERGÖTLANDS LÄN</t>
        </is>
      </c>
      <c r="G246" t="inlineStr">
        <is>
          <t>SÖDERKÖPING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46254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Kyrkan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45295</v>
      </c>
      <c r="E248" s="1" t="n">
        <v>46254</v>
      </c>
      <c r="F248" t="inlineStr">
        <is>
          <t>ÖSTERGÖTLANDS LÄN</t>
        </is>
      </c>
      <c r="G248" t="inlineStr">
        <is>
          <t>SÖDERKÖPING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46254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Kyrkan</t>
        </is>
      </c>
      <c r="I249" t="n">
        <v>11.7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46055</v>
      </c>
      <c r="E250" s="1" t="n">
        <v>46254</v>
      </c>
      <c r="F250" t="inlineStr">
        <is>
          <t>ÖSTERGÖTLANDS LÄN</t>
        </is>
      </c>
      <c r="G250" t="inlineStr">
        <is>
          <t>SÖDERKÖPING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45489</v>
      </c>
      <c r="E251" s="1" t="n">
        <v>46254</v>
      </c>
      <c r="F251" t="inlineStr">
        <is>
          <t>ÖSTERGÖTLANDS LÄN</t>
        </is>
      </c>
      <c r="G251" t="inlineStr">
        <is>
          <t>SÖDERKÖPING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46055</v>
      </c>
      <c r="E252" s="1" t="n">
        <v>46254</v>
      </c>
      <c r="F252" t="inlineStr">
        <is>
          <t>ÖSTERGÖTLANDS LÄN</t>
        </is>
      </c>
      <c r="G252" t="inlineStr">
        <is>
          <t>SÖDERKÖPING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46254</v>
      </c>
      <c r="F253" t="inlineStr">
        <is>
          <t>ÖSTERGÖTLANDS LÄN</t>
        </is>
      </c>
      <c r="G253" t="inlineStr">
        <is>
          <t>SÖDERKÖPING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46055</v>
      </c>
      <c r="E254" s="1" t="n">
        <v>46254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6669-2026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46254</v>
      </c>
      <c r="F255" t="inlineStr">
        <is>
          <t>ÖSTERGÖTLANDS LÄN</t>
        </is>
      </c>
      <c r="G255" t="inlineStr">
        <is>
          <t>SÖDERKÖPING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46254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46254</v>
      </c>
      <c r="F257" t="inlineStr">
        <is>
          <t>ÖSTERGÖTLANDS LÄN</t>
        </is>
      </c>
      <c r="G257" t="inlineStr">
        <is>
          <t>SÖDERKÖPING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46254</v>
      </c>
      <c r="F258" t="inlineStr">
        <is>
          <t>ÖSTERGÖTLANDS LÄN</t>
        </is>
      </c>
      <c r="G258" t="inlineStr">
        <is>
          <t>SÖDERKÖPING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46061</v>
      </c>
      <c r="E259" s="1" t="n">
        <v>46254</v>
      </c>
      <c r="F259" t="inlineStr">
        <is>
          <t>ÖSTERGÖTLANDS LÄN</t>
        </is>
      </c>
      <c r="G259" t="inlineStr">
        <is>
          <t>SÖDERKÖPING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46254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46062</v>
      </c>
      <c r="E261" s="1" t="n">
        <v>46254</v>
      </c>
      <c r="F261" t="inlineStr">
        <is>
          <t>ÖSTERGÖTLANDS LÄN</t>
        </is>
      </c>
      <c r="G261" t="inlineStr">
        <is>
          <t>SÖDERKÖPING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46254</v>
      </c>
      <c r="F262" t="inlineStr">
        <is>
          <t>ÖSTERGÖTLANDS LÄN</t>
        </is>
      </c>
      <c r="G262" t="inlineStr">
        <is>
          <t>SÖDERKÖPING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46254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45055</v>
      </c>
      <c r="E264" s="1" t="n">
        <v>46254</v>
      </c>
      <c r="F264" t="inlineStr">
        <is>
          <t>ÖSTERGÖTLANDS LÄN</t>
        </is>
      </c>
      <c r="G264" t="inlineStr">
        <is>
          <t>SÖDERKÖPING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46254</v>
      </c>
      <c r="F265" t="inlineStr">
        <is>
          <t>ÖSTERGÖTLANDS LÄN</t>
        </is>
      </c>
      <c r="G265" t="inlineStr">
        <is>
          <t>SÖDERKÖPING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46254</v>
      </c>
      <c r="F266" t="inlineStr">
        <is>
          <t>ÖSTERGÖTLANDS LÄN</t>
        </is>
      </c>
      <c r="G266" t="inlineStr">
        <is>
          <t>SÖDERKÖPING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40357-2023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45169</v>
      </c>
      <c r="E267" s="1" t="n">
        <v>46254</v>
      </c>
      <c r="F267" t="inlineStr">
        <is>
          <t>ÖSTERGÖTLANDS LÄN</t>
        </is>
      </c>
      <c r="G267" t="inlineStr">
        <is>
          <t>SÖDERKÖPING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45692</v>
      </c>
      <c r="E268" s="1" t="n">
        <v>46254</v>
      </c>
      <c r="F268" t="inlineStr">
        <is>
          <t>ÖSTERGÖTLANDS LÄN</t>
        </is>
      </c>
      <c r="G268" t="inlineStr">
        <is>
          <t>SÖDERKÖPING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46254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46254</v>
      </c>
      <c r="F270" t="inlineStr">
        <is>
          <t>ÖSTERGÖTLANDS LÄN</t>
        </is>
      </c>
      <c r="G270" t="inlineStr">
        <is>
          <t>SÖDERKÖPING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11005-2026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46079</v>
      </c>
      <c r="E271" s="1" t="n">
        <v>46254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Kyrkan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46254</v>
      </c>
      <c r="F272" t="inlineStr">
        <is>
          <t>ÖSTERGÖTLANDS LÄN</t>
        </is>
      </c>
      <c r="G272" t="inlineStr">
        <is>
          <t>SÖDERKÖPING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46254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46254</v>
      </c>
      <c r="F274" t="inlineStr">
        <is>
          <t>ÖSTERGÖTLANDS LÄN</t>
        </is>
      </c>
      <c r="G274" t="inlineStr">
        <is>
          <t>SÖDERKÖPING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44994</v>
      </c>
      <c r="E275" s="1" t="n">
        <v>46254</v>
      </c>
      <c r="F275" t="inlineStr">
        <is>
          <t>ÖSTERGÖTLANDS LÄN</t>
        </is>
      </c>
      <c r="G275" t="inlineStr">
        <is>
          <t>SÖDERKÖPING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46254</v>
      </c>
      <c r="F276" t="inlineStr">
        <is>
          <t>ÖSTERGÖTLANDS LÄN</t>
        </is>
      </c>
      <c r="G276" t="inlineStr">
        <is>
          <t>SÖDERKÖPING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46254</v>
      </c>
      <c r="F277" t="inlineStr">
        <is>
          <t>ÖSTERGÖTLANDS LÄN</t>
        </is>
      </c>
      <c r="G277" t="inlineStr">
        <is>
          <t>SÖDERKÖPING</t>
        </is>
      </c>
      <c r="H277" t="inlineStr">
        <is>
          <t>Holmen skog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45174</v>
      </c>
      <c r="E278" s="1" t="n">
        <v>46254</v>
      </c>
      <c r="F278" t="inlineStr">
        <is>
          <t>ÖSTERGÖTLANDS LÄN</t>
        </is>
      </c>
      <c r="G278" t="inlineStr">
        <is>
          <t>SÖDERKÖPING</t>
        </is>
      </c>
      <c r="I278" t="n">
        <v>15.3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44572</v>
      </c>
      <c r="E279" s="1" t="n">
        <v>46254</v>
      </c>
      <c r="F279" t="inlineStr">
        <is>
          <t>ÖSTERGÖTLANDS LÄN</t>
        </is>
      </c>
      <c r="G279" t="inlineStr">
        <is>
          <t>SÖDERKÖPING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44593</v>
      </c>
      <c r="E280" s="1" t="n">
        <v>46254</v>
      </c>
      <c r="F280" t="inlineStr">
        <is>
          <t>ÖSTERGÖTLANDS LÄN</t>
        </is>
      </c>
      <c r="G280" t="inlineStr">
        <is>
          <t>SÖDERKÖPING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45737</v>
      </c>
      <c r="E281" s="1" t="n">
        <v>46254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29374-2022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44753</v>
      </c>
      <c r="E282" s="1" t="n">
        <v>46254</v>
      </c>
      <c r="F282" t="inlineStr">
        <is>
          <t>ÖSTERGÖTLANDS LÄN</t>
        </is>
      </c>
      <c r="G282" t="inlineStr">
        <is>
          <t>SÖDERKÖPING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46254</v>
      </c>
      <c r="F283" t="inlineStr">
        <is>
          <t>ÖSTERGÖTLANDS LÄN</t>
        </is>
      </c>
      <c r="G283" t="inlineStr">
        <is>
          <t>SÖDERKÖPING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46254</v>
      </c>
      <c r="F284" t="inlineStr">
        <is>
          <t>ÖSTERGÖTLANDS LÄN</t>
        </is>
      </c>
      <c r="G284" t="inlineStr">
        <is>
          <t>SÖDERKÖPING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46254</v>
      </c>
      <c r="F285" t="inlineStr">
        <is>
          <t>ÖSTERGÖTLANDS LÄN</t>
        </is>
      </c>
      <c r="G285" t="inlineStr">
        <is>
          <t>SÖDERKÖPING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14776-2026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46254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46254</v>
      </c>
      <c r="F287" t="inlineStr">
        <is>
          <t>ÖSTERGÖTLANDS LÄN</t>
        </is>
      </c>
      <c r="G287" t="inlineStr">
        <is>
          <t>SÖDERKÖPING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46254</v>
      </c>
      <c r="F288" t="inlineStr">
        <is>
          <t>ÖSTERGÖTLANDS LÄN</t>
        </is>
      </c>
      <c r="G288" t="inlineStr">
        <is>
          <t>SÖDERKÖPING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45297</v>
      </c>
      <c r="E289" s="1" t="n">
        <v>46254</v>
      </c>
      <c r="F289" t="inlineStr">
        <is>
          <t>ÖSTERGÖTLANDS LÄN</t>
        </is>
      </c>
      <c r="G289" t="inlineStr">
        <is>
          <t>SÖDERKÖPING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46254</v>
      </c>
      <c r="F290" t="inlineStr">
        <is>
          <t>ÖSTERGÖTLANDS LÄN</t>
        </is>
      </c>
      <c r="G290" t="inlineStr">
        <is>
          <t>SÖDERKÖPING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46254</v>
      </c>
      <c r="F291" t="inlineStr">
        <is>
          <t>ÖSTERGÖTLANDS LÄN</t>
        </is>
      </c>
      <c r="G291" t="inlineStr">
        <is>
          <t>SÖDERKÖPING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44888</v>
      </c>
      <c r="E292" s="1" t="n">
        <v>46254</v>
      </c>
      <c r="F292" t="inlineStr">
        <is>
          <t>ÖSTERGÖTLANDS LÄN</t>
        </is>
      </c>
      <c r="G292" t="inlineStr">
        <is>
          <t>SÖDERKÖPING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46254</v>
      </c>
      <c r="F293" t="inlineStr">
        <is>
          <t>ÖSTERGÖTLANDS LÄN</t>
        </is>
      </c>
      <c r="G293" t="inlineStr">
        <is>
          <t>SÖDERKÖPING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46254</v>
      </c>
      <c r="F294" t="inlineStr">
        <is>
          <t>ÖSTERGÖTLANDS LÄN</t>
        </is>
      </c>
      <c r="G294" t="inlineStr">
        <is>
          <t>SÖDERKÖPING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46254</v>
      </c>
      <c r="F295" t="inlineStr">
        <is>
          <t>ÖSTERGÖTLANDS LÄN</t>
        </is>
      </c>
      <c r="G295" t="inlineStr">
        <is>
          <t>SÖDERKÖPING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46254</v>
      </c>
      <c r="F296" t="inlineStr">
        <is>
          <t>ÖSTERGÖTLANDS LÄN</t>
        </is>
      </c>
      <c r="G296" t="inlineStr">
        <is>
          <t>SÖDERKÖPING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46254</v>
      </c>
      <c r="F297" t="inlineStr">
        <is>
          <t>ÖSTERGÖTLANDS LÄN</t>
        </is>
      </c>
      <c r="G297" t="inlineStr">
        <is>
          <t>SÖDERKÖPING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46254</v>
      </c>
      <c r="F298" t="inlineStr">
        <is>
          <t>ÖSTERGÖTLANDS LÄN</t>
        </is>
      </c>
      <c r="G298" t="inlineStr">
        <is>
          <t>SÖDERKÖPING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46254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Allmännings- och besparingsskogar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45687</v>
      </c>
      <c r="E300" s="1" t="n">
        <v>46254</v>
      </c>
      <c r="F300" t="inlineStr">
        <is>
          <t>ÖSTERGÖTLANDS LÄN</t>
        </is>
      </c>
      <c r="G300" t="inlineStr">
        <is>
          <t>SÖDERKÖPING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46254</v>
      </c>
      <c r="F301" t="inlineStr">
        <is>
          <t>ÖSTERGÖTLANDS LÄN</t>
        </is>
      </c>
      <c r="G301" t="inlineStr">
        <is>
          <t>SÖDERKÖPING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46254</v>
      </c>
      <c r="F302" t="inlineStr">
        <is>
          <t>ÖSTERGÖTLANDS LÄN</t>
        </is>
      </c>
      <c r="G302" t="inlineStr">
        <is>
          <t>SÖDERKÖPING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45055</v>
      </c>
      <c r="E303" s="1" t="n">
        <v>46254</v>
      </c>
      <c r="F303" t="inlineStr">
        <is>
          <t>ÖSTERGÖTLANDS LÄN</t>
        </is>
      </c>
      <c r="G303" t="inlineStr">
        <is>
          <t>SÖDERKÖPING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45297</v>
      </c>
      <c r="E304" s="1" t="n">
        <v>46254</v>
      </c>
      <c r="F304" t="inlineStr">
        <is>
          <t>ÖSTERGÖTLANDS LÄN</t>
        </is>
      </c>
      <c r="G304" t="inlineStr">
        <is>
          <t>SÖDERKÖPING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46254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46254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Holmen skog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45737</v>
      </c>
      <c r="E307" s="1" t="n">
        <v>46254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Holmen skog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46254</v>
      </c>
      <c r="F308" t="inlineStr">
        <is>
          <t>ÖSTERGÖTLANDS LÄN</t>
        </is>
      </c>
      <c r="G308" t="inlineStr">
        <is>
          <t>SÖDERKÖPING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19661-2026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46254</v>
      </c>
      <c r="F309" t="inlineStr">
        <is>
          <t>ÖSTERGÖTLANDS LÄN</t>
        </is>
      </c>
      <c r="G309" t="inlineStr">
        <is>
          <t>SÖDERKÖPING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45838</v>
      </c>
      <c r="E310" s="1" t="n">
        <v>46254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45756</v>
      </c>
      <c r="E311" s="1" t="n">
        <v>46254</v>
      </c>
      <c r="F311" t="inlineStr">
        <is>
          <t>ÖSTERGÖTLANDS LÄN</t>
        </is>
      </c>
      <c r="G311" t="inlineStr">
        <is>
          <t>SÖDERKÖPING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45782</v>
      </c>
      <c r="E312" s="1" t="n">
        <v>46254</v>
      </c>
      <c r="F312" t="inlineStr">
        <is>
          <t>ÖSTERGÖTLANDS LÄN</t>
        </is>
      </c>
      <c r="G312" t="inlineStr">
        <is>
          <t>SÖDERKÖPING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44984</v>
      </c>
      <c r="E313" s="1" t="n">
        <v>46254</v>
      </c>
      <c r="F313" t="inlineStr">
        <is>
          <t>ÖSTERGÖTLANDS LÄN</t>
        </is>
      </c>
      <c r="G313" t="inlineStr">
        <is>
          <t>SÖDERKÖPING</t>
        </is>
      </c>
      <c r="I313" t="n">
        <v>13.8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46254</v>
      </c>
      <c r="F314" t="inlineStr">
        <is>
          <t>ÖSTERGÖTLANDS LÄN</t>
        </is>
      </c>
      <c r="G314" t="inlineStr">
        <is>
          <t>SÖDERKÖPING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45504</v>
      </c>
      <c r="E315" s="1" t="n">
        <v>46254</v>
      </c>
      <c r="F315" t="inlineStr">
        <is>
          <t>ÖSTERGÖTLANDS LÄN</t>
        </is>
      </c>
      <c r="G315" t="inlineStr">
        <is>
          <t>SÖDERKÖPING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45504</v>
      </c>
      <c r="E316" s="1" t="n">
        <v>46254</v>
      </c>
      <c r="F316" t="inlineStr">
        <is>
          <t>ÖSTERGÖTLANDS LÄN</t>
        </is>
      </c>
      <c r="G316" t="inlineStr">
        <is>
          <t>SÖDERKÖPING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45435</v>
      </c>
      <c r="E317" s="1" t="n">
        <v>46254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46139</v>
      </c>
      <c r="E318" s="1" t="n">
        <v>46254</v>
      </c>
      <c r="F318" t="inlineStr">
        <is>
          <t>ÖSTERGÖTLANDS LÄN</t>
        </is>
      </c>
      <c r="G318" t="inlineStr">
        <is>
          <t>SÖDERKÖPING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45601</v>
      </c>
      <c r="E319" s="1" t="n">
        <v>46254</v>
      </c>
      <c r="F319" t="inlineStr">
        <is>
          <t>ÖSTERGÖTLANDS LÄN</t>
        </is>
      </c>
      <c r="G319" t="inlineStr">
        <is>
          <t>SÖDERKÖPING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45692</v>
      </c>
      <c r="E320" s="1" t="n">
        <v>46254</v>
      </c>
      <c r="F320" t="inlineStr">
        <is>
          <t>ÖSTERGÖTLANDS LÄN</t>
        </is>
      </c>
      <c r="G320" t="inlineStr">
        <is>
          <t>SÖDERKÖPING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45504</v>
      </c>
      <c r="E321" s="1" t="n">
        <v>46254</v>
      </c>
      <c r="F321" t="inlineStr">
        <is>
          <t>ÖSTERGÖTLANDS LÄN</t>
        </is>
      </c>
      <c r="G321" t="inlineStr">
        <is>
          <t>SÖDERKÖPING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46254</v>
      </c>
      <c r="F322" t="inlineStr">
        <is>
          <t>ÖSTERGÖTLANDS LÄN</t>
        </is>
      </c>
      <c r="G322" t="inlineStr">
        <is>
          <t>SÖDERKÖPING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45184</v>
      </c>
      <c r="E323" s="1" t="n">
        <v>46254</v>
      </c>
      <c r="F323" t="inlineStr">
        <is>
          <t>ÖSTERGÖTLANDS LÄN</t>
        </is>
      </c>
      <c r="G323" t="inlineStr">
        <is>
          <t>SÖDERKÖPING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46254</v>
      </c>
      <c r="F324" t="inlineStr">
        <is>
          <t>ÖSTERGÖTLANDS LÄN</t>
        </is>
      </c>
      <c r="G324" t="inlineStr">
        <is>
          <t>SÖDERKÖPING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45790</v>
      </c>
      <c r="E325" s="1" t="n">
        <v>46254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47368-2021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46254</v>
      </c>
      <c r="F326" t="inlineStr">
        <is>
          <t>ÖSTERGÖTLANDS LÄN</t>
        </is>
      </c>
      <c r="G326" t="inlineStr">
        <is>
          <t>SÖDERKÖPING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46254</v>
      </c>
      <c r="F327" t="inlineStr">
        <is>
          <t>ÖSTERGÖTLANDS LÄN</t>
        </is>
      </c>
      <c r="G327" t="inlineStr">
        <is>
          <t>SÖDERKÖPING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46254</v>
      </c>
      <c r="F328" t="inlineStr">
        <is>
          <t>ÖSTERGÖTLANDS LÄN</t>
        </is>
      </c>
      <c r="G328" t="inlineStr">
        <is>
          <t>SÖDERKÖPING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45797</v>
      </c>
      <c r="E329" s="1" t="n">
        <v>46254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45797</v>
      </c>
      <c r="E330" s="1" t="n">
        <v>46254</v>
      </c>
      <c r="F330" t="inlineStr">
        <is>
          <t>ÖSTERGÖTLANDS LÄN</t>
        </is>
      </c>
      <c r="G330" t="inlineStr">
        <is>
          <t>SÖDERKÖPING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46254</v>
      </c>
      <c r="F331" t="inlineStr">
        <is>
          <t>ÖSTERGÖTLANDS LÄN</t>
        </is>
      </c>
      <c r="G331" t="inlineStr">
        <is>
          <t>SÖDERKÖPING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45692</v>
      </c>
      <c r="E332" s="1" t="n">
        <v>46254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44939</v>
      </c>
      <c r="E333" s="1" t="n">
        <v>46254</v>
      </c>
      <c r="F333" t="inlineStr">
        <is>
          <t>ÖSTERGÖTLANDS LÄN</t>
        </is>
      </c>
      <c r="G333" t="inlineStr">
        <is>
          <t>SÖDERKÖPING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14776-2025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45742</v>
      </c>
      <c r="E334" s="1" t="n">
        <v>46254</v>
      </c>
      <c r="F334" t="inlineStr">
        <is>
          <t>ÖSTERGÖTLANDS LÄN</t>
        </is>
      </c>
      <c r="G334" t="inlineStr">
        <is>
          <t>SÖDERKÖPING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46254</v>
      </c>
      <c r="F335" t="inlineStr">
        <is>
          <t>ÖSTERGÖTLANDS LÄN</t>
        </is>
      </c>
      <c r="G335" t="inlineStr">
        <is>
          <t>SÖDERKÖPING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46254</v>
      </c>
      <c r="F336" t="inlineStr">
        <is>
          <t>ÖSTERGÖTLANDS LÄN</t>
        </is>
      </c>
      <c r="G336" t="inlineStr">
        <is>
          <t>SÖDERKÖPING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46254</v>
      </c>
      <c r="F337" t="inlineStr">
        <is>
          <t>ÖSTERGÖTLANDS LÄN</t>
        </is>
      </c>
      <c r="G337" t="inlineStr">
        <is>
          <t>SÖDERKÖPING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45791</v>
      </c>
      <c r="E338" s="1" t="n">
        <v>46254</v>
      </c>
      <c r="F338" t="inlineStr">
        <is>
          <t>ÖSTERGÖTLANDS LÄN</t>
        </is>
      </c>
      <c r="G338" t="inlineStr">
        <is>
          <t>SÖDERKÖPING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45849</v>
      </c>
      <c r="E339" s="1" t="n">
        <v>46254</v>
      </c>
      <c r="F339" t="inlineStr">
        <is>
          <t>ÖSTERGÖTLANDS LÄN</t>
        </is>
      </c>
      <c r="G339" t="inlineStr">
        <is>
          <t>SÖDERKÖPING</t>
        </is>
      </c>
      <c r="I339" t="n">
        <v>9.300000000000001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45849</v>
      </c>
      <c r="E340" s="1" t="n">
        <v>46254</v>
      </c>
      <c r="F340" t="inlineStr">
        <is>
          <t>ÖSTERGÖTLANDS LÄN</t>
        </is>
      </c>
      <c r="G340" t="inlineStr">
        <is>
          <t>SÖDERKÖPING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45586</v>
      </c>
      <c r="E341" s="1" t="n">
        <v>46254</v>
      </c>
      <c r="F341" t="inlineStr">
        <is>
          <t>ÖSTERGÖTLANDS LÄN</t>
        </is>
      </c>
      <c r="G341" t="inlineStr">
        <is>
          <t>SÖDERKÖPING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46254</v>
      </c>
      <c r="F342" t="inlineStr">
        <is>
          <t>ÖSTERGÖTLANDS LÄN</t>
        </is>
      </c>
      <c r="G342" t="inlineStr">
        <is>
          <t>SÖDERKÖPING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46254</v>
      </c>
      <c r="F343" t="inlineStr">
        <is>
          <t>ÖSTERGÖTLANDS LÄN</t>
        </is>
      </c>
      <c r="G343" t="inlineStr">
        <is>
          <t>SÖDERKÖPING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46254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46254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46254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46254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46254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46254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2026-08-20T01:45:51Z</dcterms:created>
  <dcterms:modified xmlns:dcterms="http://purl.org/dc/terms/" xmlns:xsi="http://www.w3.org/2001/XMLSchema-instance" xsi:type="dcterms:W3CDTF">2026-08-20T01:45:51Z</dcterms:modified>
</cp:coreProperties>
</file>