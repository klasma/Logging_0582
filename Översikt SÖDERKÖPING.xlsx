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46288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46288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46288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46288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46288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46288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46288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46288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46288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46288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46288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46288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46288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46288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46288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46288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46288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46288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46288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46288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46288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46288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46288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46288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46288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46288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38709-2026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46283</v>
      </c>
      <c r="E34" s="1" t="n">
        <v>46288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Allmännings- och besparingsskogar</t>
        </is>
      </c>
      <c r="I34" t="n">
        <v>9.5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HYPERLINK("https://klasma.github.io/Logging_0582/artfynd/A 38709-2026 artfynd.xlsx", "A 38709-2026")</f>
        <v/>
      </c>
      <c r="X34">
        <f>HYPERLINK("https://klasma.github.io/Logging_0582/kartor/A 38709-2026 karta.png", "A 38709-2026")</f>
        <v/>
      </c>
      <c r="Y34">
        <f>HYPERLINK("https://klasma.github.io/Logging_0582/kartor_geotiff/A 38709-2026 georefererad karta.tif", "A 38709-2026")</f>
        <v/>
      </c>
      <c r="AA34">
        <f>HYPERLINK("https://klasma.github.io/Logging_0582/klagomål/A 38709-2026 FSC-klagomål.docx", "A 38709-2026")</f>
        <v/>
      </c>
      <c r="AB34">
        <f>HYPERLINK("https://klasma.github.io/Logging_0582/klagomålsmail/A 38709-2026 FSC-klagomål mail.docx", "A 38709-2026")</f>
        <v/>
      </c>
      <c r="AC34">
        <f>HYPERLINK("https://klasma.github.io/Logging_0582/tillsyn/A 38709-2026 tillsynsbegäran.docx", "A 38709-2026")</f>
        <v/>
      </c>
      <c r="AD34">
        <f>HYPERLINK("https://klasma.github.io/Logging_0582/tillsynsmail/A 38709-2026 tillsynsbegäran mail.docx", "A 38709-2026")</f>
        <v/>
      </c>
    </row>
    <row r="35" ht="15" customHeight="1">
      <c r="A35" t="inlineStr">
        <is>
          <t>A 22512-2024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46288</v>
      </c>
      <c r="F35" t="inlineStr">
        <is>
          <t>ÖSTERGÖTLANDS LÄN</t>
        </is>
      </c>
      <c r="G35" t="inlineStr">
        <is>
          <t>SÖDERKÖPING</t>
        </is>
      </c>
      <c r="H35" t="inlineStr">
        <is>
          <t>Kommuner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Skogsstjärna</t>
        </is>
      </c>
      <c r="W35">
        <f>HYPERLINK("https://klasma.github.io/Logging_0582/artfynd/A 22512-2024 artfynd.xlsx", "A 22512-2024")</f>
        <v/>
      </c>
      <c r="X35">
        <f>HYPERLINK("https://klasma.github.io/Logging_0582/kartor/A 22512-2024 karta.png", "A 22512-2024")</f>
        <v/>
      </c>
      <c r="Y35">
        <f>HYPERLINK("https://klasma.github.io/Logging_0582/kartor_geotiff/A 22512-2024 georefererad karta.tif", "A 22512-2024")</f>
        <v/>
      </c>
      <c r="AA35">
        <f>HYPERLINK("https://klasma.github.io/Logging_0582/klagomål/A 22512-2024 FSC-klagomål.docx", "A 22512-2024")</f>
        <v/>
      </c>
      <c r="AB35">
        <f>HYPERLINK("https://klasma.github.io/Logging_0582/klagomålsmail/A 22512-2024 FSC-klagomål mail.docx", "A 22512-2024")</f>
        <v/>
      </c>
      <c r="AC35">
        <f>HYPERLINK("https://klasma.github.io/Logging_0582/tillsyn/A 22512-2024 tillsynsbegäran.docx", "A 22512-2024")</f>
        <v/>
      </c>
      <c r="AD35">
        <f>HYPERLINK("https://klasma.github.io/Logging_0582/tillsynsmail/A 22512-2024 tillsynsbegäran mail.docx", "A 22512-2024")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46288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46288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46288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46288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46288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46288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46288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46288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46288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46288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46288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46288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46288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46288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46288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46288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46288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46288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46288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46288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46288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46288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46288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46288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46288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46288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46288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46288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46288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46288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46288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46288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46288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46288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46288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46288</v>
      </c>
      <c r="F71" t="inlineStr">
        <is>
          <t>ÖSTERGÖTLANDS LÄN</t>
        </is>
      </c>
      <c r="G71" t="inlineStr">
        <is>
          <t>SÖDERKÖPING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46288</v>
      </c>
      <c r="F72" t="inlineStr">
        <is>
          <t>ÖSTERGÖTLANDS LÄN</t>
        </is>
      </c>
      <c r="G72" t="inlineStr">
        <is>
          <t>SÖDERKÖPING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46288</v>
      </c>
      <c r="F73" t="inlineStr">
        <is>
          <t>ÖSTERGÖTLANDS LÄN</t>
        </is>
      </c>
      <c r="G73" t="inlineStr">
        <is>
          <t>SÖDERKÖPING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46288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46288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Holmen skog AB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46288</v>
      </c>
      <c r="F76" t="inlineStr">
        <is>
          <t>ÖSTERGÖTLANDS LÄN</t>
        </is>
      </c>
      <c r="G76" t="inlineStr">
        <is>
          <t>SÖDERKÖPING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46288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46288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45663</v>
      </c>
      <c r="E79" s="1" t="n">
        <v>46288</v>
      </c>
      <c r="F79" t="inlineStr">
        <is>
          <t>ÖSTERGÖTLANDS LÄN</t>
        </is>
      </c>
      <c r="G79" t="inlineStr">
        <is>
          <t>SÖDERKÖPING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46288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25790-2023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45090</v>
      </c>
      <c r="E81" s="1" t="n">
        <v>46288</v>
      </c>
      <c r="F81" t="inlineStr">
        <is>
          <t>ÖSTERGÖTLANDS LÄN</t>
        </is>
      </c>
      <c r="G81" t="inlineStr">
        <is>
          <t>SÖDERKÖPING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46288</v>
      </c>
      <c r="F82" t="inlineStr">
        <is>
          <t>ÖSTERGÖTLANDS LÄN</t>
        </is>
      </c>
      <c r="G82" t="inlineStr">
        <is>
          <t>SÖDERKÖPING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37694-2023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46288</v>
      </c>
      <c r="F83" t="inlineStr">
        <is>
          <t>ÖSTERGÖTLANDS LÄN</t>
        </is>
      </c>
      <c r="G83" t="inlineStr">
        <is>
          <t>SÖDERKÖPING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46288</v>
      </c>
      <c r="F84" t="inlineStr">
        <is>
          <t>ÖSTERGÖTLANDS LÄN</t>
        </is>
      </c>
      <c r="G84" t="inlineStr">
        <is>
          <t>SÖDERKÖPING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46288</v>
      </c>
      <c r="F85" t="inlineStr">
        <is>
          <t>ÖSTERGÖTLANDS LÄN</t>
        </is>
      </c>
      <c r="G85" t="inlineStr">
        <is>
          <t>SÖDERKÖPING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46288</v>
      </c>
      <c r="F86" t="inlineStr">
        <is>
          <t>ÖSTERGÖTLANDS LÄN</t>
        </is>
      </c>
      <c r="G86" t="inlineStr">
        <is>
          <t>SÖDERKÖPING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44979</v>
      </c>
      <c r="E87" s="1" t="n">
        <v>46288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46288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45736</v>
      </c>
      <c r="E89" s="1" t="n">
        <v>46288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Holmen skog AB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44588</v>
      </c>
      <c r="E90" s="1" t="n">
        <v>46288</v>
      </c>
      <c r="F90" t="inlineStr">
        <is>
          <t>ÖSTERGÖTLANDS LÄN</t>
        </is>
      </c>
      <c r="G90" t="inlineStr">
        <is>
          <t>SÖDERKÖPING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46288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46288</v>
      </c>
      <c r="F92" t="inlineStr">
        <is>
          <t>ÖSTERGÖTLANDS LÄN</t>
        </is>
      </c>
      <c r="G92" t="inlineStr">
        <is>
          <t>SÖDERKÖPING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46288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46288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46288</v>
      </c>
      <c r="F95" t="inlineStr">
        <is>
          <t>ÖSTERGÖTLANDS LÄN</t>
        </is>
      </c>
      <c r="G95" t="inlineStr">
        <is>
          <t>SÖDERKÖPING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46288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Holmen skog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46288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46288</v>
      </c>
      <c r="F98" t="inlineStr">
        <is>
          <t>ÖSTERGÖTLANDS LÄN</t>
        </is>
      </c>
      <c r="G98" t="inlineStr">
        <is>
          <t>SÖDERKÖPING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46288</v>
      </c>
      <c r="F99" t="inlineStr">
        <is>
          <t>ÖSTERGÖTLANDS LÄN</t>
        </is>
      </c>
      <c r="G99" t="inlineStr">
        <is>
          <t>SÖDERKÖPING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44775</v>
      </c>
      <c r="E100" s="1" t="n">
        <v>46288</v>
      </c>
      <c r="F100" t="inlineStr">
        <is>
          <t>ÖSTERGÖTLANDS LÄN</t>
        </is>
      </c>
      <c r="G100" t="inlineStr">
        <is>
          <t>SÖDERKÖPING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45279</v>
      </c>
      <c r="E101" s="1" t="n">
        <v>46288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46288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Allmännings- och besparingsskogar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46288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46288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46288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45838</v>
      </c>
      <c r="E106" s="1" t="n">
        <v>46288</v>
      </c>
      <c r="F106" t="inlineStr">
        <is>
          <t>ÖSTERGÖTLANDS LÄN</t>
        </is>
      </c>
      <c r="G106" t="inlineStr">
        <is>
          <t>SÖDERKÖPING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46288</v>
      </c>
      <c r="F107" t="inlineStr">
        <is>
          <t>ÖSTERGÖTLANDS LÄN</t>
        </is>
      </c>
      <c r="G107" t="inlineStr">
        <is>
          <t>SÖDERKÖPING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46288</v>
      </c>
      <c r="F108" t="inlineStr">
        <is>
          <t>ÖSTERGÖTLANDS LÄN</t>
        </is>
      </c>
      <c r="G108" t="inlineStr">
        <is>
          <t>SÖDERKÖPING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46288</v>
      </c>
      <c r="F109" t="inlineStr">
        <is>
          <t>ÖSTERGÖTLANDS LÄN</t>
        </is>
      </c>
      <c r="G109" t="inlineStr">
        <is>
          <t>SÖDERKÖPING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46288</v>
      </c>
      <c r="F110" t="inlineStr">
        <is>
          <t>ÖSTERGÖTLANDS LÄN</t>
        </is>
      </c>
      <c r="G110" t="inlineStr">
        <is>
          <t>SÖDERKÖPING</t>
        </is>
      </c>
      <c r="I110" t="n">
        <v>26.6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45365</v>
      </c>
      <c r="E111" s="1" t="n">
        <v>46288</v>
      </c>
      <c r="F111" t="inlineStr">
        <is>
          <t>ÖSTERGÖTLANDS LÄN</t>
        </is>
      </c>
      <c r="G111" t="inlineStr">
        <is>
          <t>SÖDERKÖPING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46288</v>
      </c>
      <c r="F112" t="inlineStr">
        <is>
          <t>ÖSTERGÖTLANDS LÄN</t>
        </is>
      </c>
      <c r="G112" t="inlineStr">
        <is>
          <t>SÖDERKÖPING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46288</v>
      </c>
      <c r="F113" t="inlineStr">
        <is>
          <t>ÖSTERGÖTLANDS LÄN</t>
        </is>
      </c>
      <c r="G113" t="inlineStr">
        <is>
          <t>SÖDERKÖPING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46288</v>
      </c>
      <c r="F114" t="inlineStr">
        <is>
          <t>ÖSTERGÖTLANDS LÄN</t>
        </is>
      </c>
      <c r="G114" t="inlineStr">
        <is>
          <t>SÖDERKÖPING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46288</v>
      </c>
      <c r="F115" t="inlineStr">
        <is>
          <t>ÖSTERGÖTLANDS LÄN</t>
        </is>
      </c>
      <c r="G115" t="inlineStr">
        <is>
          <t>SÖDERKÖPING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46288</v>
      </c>
      <c r="F116" t="inlineStr">
        <is>
          <t>ÖSTERGÖTLANDS LÄN</t>
        </is>
      </c>
      <c r="G116" t="inlineStr">
        <is>
          <t>SÖDERKÖPING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46288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Holmen skog AB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46288</v>
      </c>
      <c r="F118" t="inlineStr">
        <is>
          <t>ÖSTERGÖTLANDS LÄN</t>
        </is>
      </c>
      <c r="G118" t="inlineStr">
        <is>
          <t>SÖDERKÖPING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46288</v>
      </c>
      <c r="F119" t="inlineStr">
        <is>
          <t>ÖSTERGÖTLANDS LÄN</t>
        </is>
      </c>
      <c r="G119" t="inlineStr">
        <is>
          <t>SÖDERKÖPING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46288</v>
      </c>
      <c r="F120" t="inlineStr">
        <is>
          <t>ÖSTERGÖTLANDS LÄN</t>
        </is>
      </c>
      <c r="G120" t="inlineStr">
        <is>
          <t>SÖDERKÖPING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46288</v>
      </c>
      <c r="F121" t="inlineStr">
        <is>
          <t>ÖSTERGÖTLANDS LÄN</t>
        </is>
      </c>
      <c r="G121" t="inlineStr">
        <is>
          <t>SÖDERKÖPING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46288</v>
      </c>
      <c r="F122" t="inlineStr">
        <is>
          <t>ÖSTERGÖTLANDS LÄN</t>
        </is>
      </c>
      <c r="G122" t="inlineStr">
        <is>
          <t>SÖDERKÖPING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46288</v>
      </c>
      <c r="F123" t="inlineStr">
        <is>
          <t>ÖSTERGÖTLANDS LÄN</t>
        </is>
      </c>
      <c r="G123" t="inlineStr">
        <is>
          <t>SÖDERKÖPING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46288</v>
      </c>
      <c r="F124" t="inlineStr">
        <is>
          <t>ÖSTERGÖTLANDS LÄN</t>
        </is>
      </c>
      <c r="G124" t="inlineStr">
        <is>
          <t>SÖDERKÖPING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45734</v>
      </c>
      <c r="E125" s="1" t="n">
        <v>46288</v>
      </c>
      <c r="F125" t="inlineStr">
        <is>
          <t>ÖSTERGÖTLANDS LÄN</t>
        </is>
      </c>
      <c r="G125" t="inlineStr">
        <is>
          <t>SÖDERKÖPING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46288</v>
      </c>
      <c r="F126" t="inlineStr">
        <is>
          <t>ÖSTERGÖTLANDS LÄN</t>
        </is>
      </c>
      <c r="G126" t="inlineStr">
        <is>
          <t>SÖDERKÖPING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46139</v>
      </c>
      <c r="E127" s="1" t="n">
        <v>46288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45159</v>
      </c>
      <c r="E128" s="1" t="n">
        <v>46288</v>
      </c>
      <c r="F128" t="inlineStr">
        <is>
          <t>ÖSTERGÖTLANDS LÄN</t>
        </is>
      </c>
      <c r="G128" t="inlineStr">
        <is>
          <t>SÖDERKÖPING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46288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46288</v>
      </c>
      <c r="F130" t="inlineStr">
        <is>
          <t>ÖSTERGÖTLANDS LÄN</t>
        </is>
      </c>
      <c r="G130" t="inlineStr">
        <is>
          <t>SÖDERKÖPING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46288</v>
      </c>
      <c r="F131" t="inlineStr">
        <is>
          <t>ÖSTERGÖTLANDS LÄN</t>
        </is>
      </c>
      <c r="G131" t="inlineStr">
        <is>
          <t>SÖDERKÖPING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45197</v>
      </c>
      <c r="E132" s="1" t="n">
        <v>46288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45923</v>
      </c>
      <c r="E133" s="1" t="n">
        <v>46288</v>
      </c>
      <c r="F133" t="inlineStr">
        <is>
          <t>ÖSTERGÖTLANDS LÄN</t>
        </is>
      </c>
      <c r="G133" t="inlineStr">
        <is>
          <t>SÖDERKÖPING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46288</v>
      </c>
      <c r="F134" t="inlineStr">
        <is>
          <t>ÖSTERGÖTLANDS LÄN</t>
        </is>
      </c>
      <c r="G134" t="inlineStr">
        <is>
          <t>SÖDERKÖPING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44798</v>
      </c>
      <c r="E135" s="1" t="n">
        <v>46288</v>
      </c>
      <c r="F135" t="inlineStr">
        <is>
          <t>ÖSTERGÖTLANDS LÄN</t>
        </is>
      </c>
      <c r="G135" t="inlineStr">
        <is>
          <t>SÖDERKÖPING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46288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46288</v>
      </c>
      <c r="F137" t="inlineStr">
        <is>
          <t>ÖSTERGÖTLANDS LÄN</t>
        </is>
      </c>
      <c r="G137" t="inlineStr">
        <is>
          <t>SÖDERKÖPING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46288</v>
      </c>
      <c r="F138" t="inlineStr">
        <is>
          <t>ÖSTERGÖTLANDS LÄN</t>
        </is>
      </c>
      <c r="G138" t="inlineStr">
        <is>
          <t>SÖDERKÖPING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46288</v>
      </c>
      <c r="F139" t="inlineStr">
        <is>
          <t>ÖSTERGÖTLANDS LÄN</t>
        </is>
      </c>
      <c r="G139" t="inlineStr">
        <is>
          <t>SÖDERKÖPING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45742</v>
      </c>
      <c r="E140" s="1" t="n">
        <v>46288</v>
      </c>
      <c r="F140" t="inlineStr">
        <is>
          <t>ÖSTERGÖTLANDS LÄN</t>
        </is>
      </c>
      <c r="G140" t="inlineStr">
        <is>
          <t>SÖDERKÖPING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46288</v>
      </c>
      <c r="F141" t="inlineStr">
        <is>
          <t>ÖSTERGÖTLANDS LÄN</t>
        </is>
      </c>
      <c r="G141" t="inlineStr">
        <is>
          <t>SÖDERKÖPING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46288</v>
      </c>
      <c r="F142" t="inlineStr">
        <is>
          <t>ÖSTERGÖTLANDS LÄN</t>
        </is>
      </c>
      <c r="G142" t="inlineStr">
        <is>
          <t>SÖDERKÖPING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46288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46288</v>
      </c>
      <c r="F144" t="inlineStr">
        <is>
          <t>ÖSTERGÖTLANDS LÄN</t>
        </is>
      </c>
      <c r="G144" t="inlineStr">
        <is>
          <t>SÖDERKÖPING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46288</v>
      </c>
      <c r="F145" t="inlineStr">
        <is>
          <t>ÖSTERGÖTLANDS LÄN</t>
        </is>
      </c>
      <c r="G145" t="inlineStr">
        <is>
          <t>SÖDERKÖPING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46288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46288</v>
      </c>
      <c r="F147" t="inlineStr">
        <is>
          <t>ÖSTERGÖTLANDS LÄN</t>
        </is>
      </c>
      <c r="G147" t="inlineStr">
        <is>
          <t>SÖDERKÖPING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46288</v>
      </c>
      <c r="F148" t="inlineStr">
        <is>
          <t>ÖSTERGÖTLANDS LÄN</t>
        </is>
      </c>
      <c r="G148" t="inlineStr">
        <is>
          <t>SÖDERKÖPING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46288</v>
      </c>
      <c r="F149" t="inlineStr">
        <is>
          <t>ÖSTERGÖTLANDS LÄN</t>
        </is>
      </c>
      <c r="G149" t="inlineStr">
        <is>
          <t>SÖDERKÖPING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46288</v>
      </c>
      <c r="F150" t="inlineStr">
        <is>
          <t>ÖSTERGÖTLANDS LÄN</t>
        </is>
      </c>
      <c r="G150" t="inlineStr">
        <is>
          <t>SÖDERKÖPING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46288</v>
      </c>
      <c r="F151" t="inlineStr">
        <is>
          <t>ÖSTERGÖTLANDS LÄN</t>
        </is>
      </c>
      <c r="G151" t="inlineStr">
        <is>
          <t>SÖDERKÖPING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46288</v>
      </c>
      <c r="F152" t="inlineStr">
        <is>
          <t>ÖSTERGÖTLANDS LÄN</t>
        </is>
      </c>
      <c r="G152" t="inlineStr">
        <is>
          <t>SÖDERKÖPING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46288</v>
      </c>
      <c r="F153" t="inlineStr">
        <is>
          <t>ÖSTERGÖTLANDS LÄN</t>
        </is>
      </c>
      <c r="G153" t="inlineStr">
        <is>
          <t>SÖDERKÖPING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46288</v>
      </c>
      <c r="F154" t="inlineStr">
        <is>
          <t>ÖSTERGÖTLANDS LÄN</t>
        </is>
      </c>
      <c r="G154" t="inlineStr">
        <is>
          <t>SÖDERKÖPING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46288</v>
      </c>
      <c r="F155" t="inlineStr">
        <is>
          <t>ÖSTERGÖTLANDS LÄN</t>
        </is>
      </c>
      <c r="G155" t="inlineStr">
        <is>
          <t>SÖDERKÖPING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46288</v>
      </c>
      <c r="F156" t="inlineStr">
        <is>
          <t>ÖSTERGÖTLANDS LÄN</t>
        </is>
      </c>
      <c r="G156" t="inlineStr">
        <is>
          <t>SÖDERKÖPING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45504</v>
      </c>
      <c r="E157" s="1" t="n">
        <v>46288</v>
      </c>
      <c r="F157" t="inlineStr">
        <is>
          <t>ÖSTERGÖTLANDS LÄN</t>
        </is>
      </c>
      <c r="G157" t="inlineStr">
        <is>
          <t>SÖDERKÖPING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46288</v>
      </c>
      <c r="F158" t="inlineStr">
        <is>
          <t>ÖSTERGÖTLANDS LÄN</t>
        </is>
      </c>
      <c r="G158" t="inlineStr">
        <is>
          <t>SÖDERKÖPING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46288</v>
      </c>
      <c r="F159" t="inlineStr">
        <is>
          <t>ÖSTERGÖTLANDS LÄN</t>
        </is>
      </c>
      <c r="G159" t="inlineStr">
        <is>
          <t>SÖDERKÖPING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44861</v>
      </c>
      <c r="E160" s="1" t="n">
        <v>46288</v>
      </c>
      <c r="F160" t="inlineStr">
        <is>
          <t>ÖSTERGÖTLANDS LÄN</t>
        </is>
      </c>
      <c r="G160" t="inlineStr">
        <is>
          <t>SÖDERKÖPING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46161</v>
      </c>
      <c r="E161" s="1" t="n">
        <v>46288</v>
      </c>
      <c r="F161" t="inlineStr">
        <is>
          <t>ÖSTERGÖTLANDS LÄN</t>
        </is>
      </c>
      <c r="G161" t="inlineStr">
        <is>
          <t>SÖDERKÖPING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46288</v>
      </c>
      <c r="F162" t="inlineStr">
        <is>
          <t>ÖSTERGÖTLANDS LÄN</t>
        </is>
      </c>
      <c r="G162" t="inlineStr">
        <is>
          <t>SÖDERKÖPING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46288</v>
      </c>
      <c r="F163" t="inlineStr">
        <is>
          <t>ÖSTERGÖTLANDS LÄN</t>
        </is>
      </c>
      <c r="G163" t="inlineStr">
        <is>
          <t>SÖDERKÖPING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46288</v>
      </c>
      <c r="F164" t="inlineStr">
        <is>
          <t>ÖSTERGÖTLANDS LÄN</t>
        </is>
      </c>
      <c r="G164" t="inlineStr">
        <is>
          <t>SÖDERKÖPING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46288</v>
      </c>
      <c r="F165" t="inlineStr">
        <is>
          <t>ÖSTERGÖTLANDS LÄN</t>
        </is>
      </c>
      <c r="G165" t="inlineStr">
        <is>
          <t>SÖDERKÖPING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46288</v>
      </c>
      <c r="F166" t="inlineStr">
        <is>
          <t>ÖSTERGÖTLANDS LÄN</t>
        </is>
      </c>
      <c r="G166" t="inlineStr">
        <is>
          <t>SÖDERKÖPING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69425-2021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46288</v>
      </c>
      <c r="F167" t="inlineStr">
        <is>
          <t>ÖSTERGÖTLANDS LÄN</t>
        </is>
      </c>
      <c r="G167" t="inlineStr">
        <is>
          <t>SÖDERKÖPING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46288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46288</v>
      </c>
      <c r="F169" t="inlineStr">
        <is>
          <t>ÖSTERGÖTLANDS LÄN</t>
        </is>
      </c>
      <c r="G169" t="inlineStr">
        <is>
          <t>SÖDERKÖPING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46288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46288</v>
      </c>
      <c r="F171" t="inlineStr">
        <is>
          <t>ÖSTERGÖTLANDS LÄN</t>
        </is>
      </c>
      <c r="G171" t="inlineStr">
        <is>
          <t>SÖDERKÖPING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46164</v>
      </c>
      <c r="E172" s="1" t="n">
        <v>46288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Holmen skog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46288</v>
      </c>
      <c r="F173" t="inlineStr">
        <is>
          <t>ÖSTERGÖTLANDS LÄN</t>
        </is>
      </c>
      <c r="G173" t="inlineStr">
        <is>
          <t>SÖDERKÖPING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46288</v>
      </c>
      <c r="F174" t="inlineStr">
        <is>
          <t>ÖSTERGÖTLANDS LÄN</t>
        </is>
      </c>
      <c r="G174" t="inlineStr">
        <is>
          <t>SÖDERKÖPING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46288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Allmännings- och besparingsskogar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45426</v>
      </c>
      <c r="E176" s="1" t="n">
        <v>46288</v>
      </c>
      <c r="F176" t="inlineStr">
        <is>
          <t>ÖSTERGÖTLANDS LÄN</t>
        </is>
      </c>
      <c r="G176" t="inlineStr">
        <is>
          <t>SÖDERKÖPING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46171</v>
      </c>
      <c r="E177" s="1" t="n">
        <v>46288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46288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66362-2021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44518</v>
      </c>
      <c r="E179" s="1" t="n">
        <v>46288</v>
      </c>
      <c r="F179" t="inlineStr">
        <is>
          <t>ÖSTERGÖTLANDS LÄN</t>
        </is>
      </c>
      <c r="G179" t="inlineStr">
        <is>
          <t>SÖDERKÖPING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45546</v>
      </c>
      <c r="E180" s="1" t="n">
        <v>46288</v>
      </c>
      <c r="F180" t="inlineStr">
        <is>
          <t>ÖSTERGÖTLANDS LÄN</t>
        </is>
      </c>
      <c r="G180" t="inlineStr">
        <is>
          <t>SÖDERKÖPING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46288</v>
      </c>
      <c r="F181" t="inlineStr">
        <is>
          <t>ÖSTERGÖTLANDS LÄN</t>
        </is>
      </c>
      <c r="G181" t="inlineStr">
        <is>
          <t>SÖDERKÖPING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46288</v>
      </c>
      <c r="F182" t="inlineStr">
        <is>
          <t>ÖSTERGÖTLANDS LÄN</t>
        </is>
      </c>
      <c r="G182" t="inlineStr">
        <is>
          <t>SÖDERKÖPING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46288</v>
      </c>
      <c r="F183" t="inlineStr">
        <is>
          <t>ÖSTERGÖTLANDS LÄN</t>
        </is>
      </c>
      <c r="G183" t="inlineStr">
        <is>
          <t>SÖDERKÖPING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46288</v>
      </c>
      <c r="F184" t="inlineStr">
        <is>
          <t>ÖSTERGÖTLANDS LÄN</t>
        </is>
      </c>
      <c r="G184" t="inlineStr">
        <is>
          <t>SÖDERKÖPING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46003</v>
      </c>
      <c r="E185" s="1" t="n">
        <v>46288</v>
      </c>
      <c r="F185" t="inlineStr">
        <is>
          <t>ÖSTERGÖTLANDS LÄN</t>
        </is>
      </c>
      <c r="G185" t="inlineStr">
        <is>
          <t>SÖDERKÖPING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46288</v>
      </c>
      <c r="F186" t="inlineStr">
        <is>
          <t>ÖSTERGÖTLANDS LÄN</t>
        </is>
      </c>
      <c r="G186" t="inlineStr">
        <is>
          <t>SÖDERKÖPING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46288</v>
      </c>
      <c r="F187" t="inlineStr">
        <is>
          <t>ÖSTERGÖTLANDS LÄN</t>
        </is>
      </c>
      <c r="G187" t="inlineStr">
        <is>
          <t>SÖDERKÖPING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46288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46288</v>
      </c>
      <c r="F189" t="inlineStr">
        <is>
          <t>ÖSTERGÖTLANDS LÄN</t>
        </is>
      </c>
      <c r="G189" t="inlineStr">
        <is>
          <t>SÖDERKÖPING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46288</v>
      </c>
      <c r="F190" t="inlineStr">
        <is>
          <t>ÖSTERGÖTLANDS LÄN</t>
        </is>
      </c>
      <c r="G190" t="inlineStr">
        <is>
          <t>SÖDERKÖPING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46288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46288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46288</v>
      </c>
      <c r="F193" t="inlineStr">
        <is>
          <t>ÖSTERGÖTLANDS LÄN</t>
        </is>
      </c>
      <c r="G193" t="inlineStr">
        <is>
          <t>SÖDERKÖPING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46288</v>
      </c>
      <c r="F194" t="inlineStr">
        <is>
          <t>ÖSTERGÖTLANDS LÄN</t>
        </is>
      </c>
      <c r="G194" t="inlineStr">
        <is>
          <t>SÖDERKÖPING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46288</v>
      </c>
      <c r="F195" t="inlineStr">
        <is>
          <t>ÖSTERGÖTLANDS LÄN</t>
        </is>
      </c>
      <c r="G195" t="inlineStr">
        <is>
          <t>SÖDERKÖPING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46288</v>
      </c>
      <c r="F196" t="inlineStr">
        <is>
          <t>ÖSTERGÖTLANDS LÄN</t>
        </is>
      </c>
      <c r="G196" t="inlineStr">
        <is>
          <t>SÖDERKÖPING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46288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26439-2026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46183</v>
      </c>
      <c r="E198" s="1" t="n">
        <v>46288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46288</v>
      </c>
      <c r="F199" t="inlineStr">
        <is>
          <t>ÖSTERGÖTLANDS LÄN</t>
        </is>
      </c>
      <c r="G199" t="inlineStr">
        <is>
          <t>SÖDERKÖPING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46288</v>
      </c>
      <c r="F200" t="inlineStr">
        <is>
          <t>ÖSTERGÖTLANDS LÄN</t>
        </is>
      </c>
      <c r="G200" t="inlineStr">
        <is>
          <t>SÖDERKÖPING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46288</v>
      </c>
      <c r="F201" t="inlineStr">
        <is>
          <t>ÖSTERGÖTLANDS LÄN</t>
        </is>
      </c>
      <c r="G201" t="inlineStr">
        <is>
          <t>SÖDERKÖPING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46288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46288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46288</v>
      </c>
      <c r="F204" t="inlineStr">
        <is>
          <t>ÖSTERGÖTLANDS LÄN</t>
        </is>
      </c>
      <c r="G204" t="inlineStr">
        <is>
          <t>SÖDERKÖPING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46288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46288</v>
      </c>
      <c r="F206" t="inlineStr">
        <is>
          <t>ÖSTERGÖTLANDS LÄN</t>
        </is>
      </c>
      <c r="G206" t="inlineStr">
        <is>
          <t>SÖDERKÖPING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46288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46288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Kyrkan</t>
        </is>
      </c>
      <c r="I208" t="n">
        <v>11.7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46288</v>
      </c>
      <c r="F209" t="inlineStr">
        <is>
          <t>ÖSTERGÖTLANDS LÄN</t>
        </is>
      </c>
      <c r="G209" t="inlineStr">
        <is>
          <t>SÖDERKÖPING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46288</v>
      </c>
      <c r="F210" t="inlineStr">
        <is>
          <t>ÖSTERGÖTLANDS LÄN</t>
        </is>
      </c>
      <c r="G210" t="inlineStr">
        <is>
          <t>SÖDERKÖPING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46288</v>
      </c>
      <c r="F211" t="inlineStr">
        <is>
          <t>ÖSTERGÖTLANDS LÄN</t>
        </is>
      </c>
      <c r="G211" t="inlineStr">
        <is>
          <t>SÖDERKÖPING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46196</v>
      </c>
      <c r="E212" s="1" t="n">
        <v>46288</v>
      </c>
      <c r="F212" t="inlineStr">
        <is>
          <t>ÖSTERGÖTLANDS LÄN</t>
        </is>
      </c>
      <c r="G212" t="inlineStr">
        <is>
          <t>SÖDERKÖPING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46288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46288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46288</v>
      </c>
      <c r="F215" t="inlineStr">
        <is>
          <t>ÖSTERGÖTLANDS LÄN</t>
        </is>
      </c>
      <c r="G215" t="inlineStr">
        <is>
          <t>SÖDERKÖPING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46059</v>
      </c>
      <c r="E216" s="1" t="n">
        <v>46288</v>
      </c>
      <c r="F216" t="inlineStr">
        <is>
          <t>ÖSTERGÖTLANDS LÄN</t>
        </is>
      </c>
      <c r="G216" t="inlineStr">
        <is>
          <t>SÖDERKÖPING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46288</v>
      </c>
      <c r="F217" t="inlineStr">
        <is>
          <t>ÖSTERGÖTLANDS LÄN</t>
        </is>
      </c>
      <c r="G217" t="inlineStr">
        <is>
          <t>SÖDERKÖPING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46288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46288</v>
      </c>
      <c r="F219" t="inlineStr">
        <is>
          <t>ÖSTERGÖTLANDS LÄN</t>
        </is>
      </c>
      <c r="G219" t="inlineStr">
        <is>
          <t>SÖDERKÖPING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46061</v>
      </c>
      <c r="E220" s="1" t="n">
        <v>46288</v>
      </c>
      <c r="F220" t="inlineStr">
        <is>
          <t>ÖSTERGÖTLANDS LÄN</t>
        </is>
      </c>
      <c r="G220" t="inlineStr">
        <is>
          <t>SÖDERKÖPING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46062</v>
      </c>
      <c r="E221" s="1" t="n">
        <v>46288</v>
      </c>
      <c r="F221" t="inlineStr">
        <is>
          <t>ÖSTERGÖTLANDS LÄN</t>
        </is>
      </c>
      <c r="G221" t="inlineStr">
        <is>
          <t>SÖDERKÖPING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46288</v>
      </c>
      <c r="F222" t="inlineStr">
        <is>
          <t>ÖSTERGÖTLANDS LÄN</t>
        </is>
      </c>
      <c r="G222" t="inlineStr">
        <is>
          <t>SÖDERKÖPING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46288</v>
      </c>
      <c r="F223" t="inlineStr">
        <is>
          <t>ÖSTERGÖTLANDS LÄN</t>
        </is>
      </c>
      <c r="G223" t="inlineStr">
        <is>
          <t>SÖDERKÖPING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46288</v>
      </c>
      <c r="F224" t="inlineStr">
        <is>
          <t>ÖSTERGÖTLANDS LÄN</t>
        </is>
      </c>
      <c r="G224" t="inlineStr">
        <is>
          <t>SÖDERKÖPING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46288</v>
      </c>
      <c r="F225" t="inlineStr">
        <is>
          <t>ÖSTERGÖTLANDS LÄN</t>
        </is>
      </c>
      <c r="G225" t="inlineStr">
        <is>
          <t>SÖDERKÖPING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54787-2022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46288</v>
      </c>
      <c r="F226" t="inlineStr">
        <is>
          <t>ÖSTERGÖTLANDS LÄN</t>
        </is>
      </c>
      <c r="G226" t="inlineStr">
        <is>
          <t>SÖDERKÖPING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46288</v>
      </c>
      <c r="F227" t="inlineStr">
        <is>
          <t>ÖSTERGÖTLANDS LÄN</t>
        </is>
      </c>
      <c r="G227" t="inlineStr">
        <is>
          <t>SÖDERKÖPING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46288</v>
      </c>
      <c r="F228" t="inlineStr">
        <is>
          <t>ÖSTERGÖTLANDS LÄN</t>
        </is>
      </c>
      <c r="G228" t="inlineStr">
        <is>
          <t>SÖDERKÖPING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11005-2026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46079</v>
      </c>
      <c r="E229" s="1" t="n">
        <v>46288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Kyrkan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46288</v>
      </c>
      <c r="F230" t="inlineStr">
        <is>
          <t>ÖSTERGÖTLANDS LÄN</t>
        </is>
      </c>
      <c r="G230" t="inlineStr">
        <is>
          <t>SÖDERKÖPING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46288</v>
      </c>
      <c r="F231" t="inlineStr">
        <is>
          <t>ÖSTERGÖTLANDS LÄN</t>
        </is>
      </c>
      <c r="G231" t="inlineStr">
        <is>
          <t>SÖDERKÖPING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46288</v>
      </c>
      <c r="F232" t="inlineStr">
        <is>
          <t>ÖSTERGÖTLANDS LÄN</t>
        </is>
      </c>
      <c r="G232" t="inlineStr">
        <is>
          <t>SÖDERKÖPING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46288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Allmännings- och besparingsskogar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45282</v>
      </c>
      <c r="E234" s="1" t="n">
        <v>46288</v>
      </c>
      <c r="F234" t="inlineStr">
        <is>
          <t>ÖSTERGÖTLANDS LÄN</t>
        </is>
      </c>
      <c r="G234" t="inlineStr">
        <is>
          <t>SÖDERKÖPING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66075-2021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44517</v>
      </c>
      <c r="E235" s="1" t="n">
        <v>46288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46288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46288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Allmännings- och besparingsskogar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46100</v>
      </c>
      <c r="E238" s="1" t="n">
        <v>46288</v>
      </c>
      <c r="F238" t="inlineStr">
        <is>
          <t>ÖSTERGÖTLANDS LÄN</t>
        </is>
      </c>
      <c r="G238" t="inlineStr">
        <is>
          <t>SÖDERKÖPING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46288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Allmännings- och besparingsskogar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50050-2023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45215</v>
      </c>
      <c r="E240" s="1" t="n">
        <v>46288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46101</v>
      </c>
      <c r="E241" s="1" t="n">
        <v>46288</v>
      </c>
      <c r="F241" t="inlineStr">
        <is>
          <t>ÖSTERGÖTLANDS LÄN</t>
        </is>
      </c>
      <c r="G241" t="inlineStr">
        <is>
          <t>SÖDERKÖPING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46288</v>
      </c>
      <c r="F242" t="inlineStr">
        <is>
          <t>ÖSTERGÖTLANDS LÄN</t>
        </is>
      </c>
      <c r="G242" t="inlineStr">
        <is>
          <t>SÖDERKÖPING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46288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46288</v>
      </c>
      <c r="F244" t="inlineStr">
        <is>
          <t>ÖSTERGÖTLANDS LÄN</t>
        </is>
      </c>
      <c r="G244" t="inlineStr">
        <is>
          <t>SÖDERKÖPING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46288</v>
      </c>
      <c r="F245" t="inlineStr">
        <is>
          <t>ÖSTERGÖTLANDS LÄN</t>
        </is>
      </c>
      <c r="G245" t="inlineStr">
        <is>
          <t>SÖDERKÖPING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46288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46288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46288</v>
      </c>
      <c r="F248" t="inlineStr">
        <is>
          <t>ÖSTERGÖTLANDS LÄN</t>
        </is>
      </c>
      <c r="G248" t="inlineStr">
        <is>
          <t>SÖDERKÖPING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46288</v>
      </c>
      <c r="F249" t="inlineStr">
        <is>
          <t>ÖSTERGÖTLANDS LÄN</t>
        </is>
      </c>
      <c r="G249" t="inlineStr">
        <is>
          <t>SÖDERKÖPING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46288</v>
      </c>
      <c r="F250" t="inlineStr">
        <is>
          <t>ÖSTERGÖTLANDS LÄN</t>
        </is>
      </c>
      <c r="G250" t="inlineStr">
        <is>
          <t>SÖDERKÖPING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45344</v>
      </c>
      <c r="E251" s="1" t="n">
        <v>46288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46288</v>
      </c>
      <c r="F252" t="inlineStr">
        <is>
          <t>ÖSTERGÖTLANDS LÄN</t>
        </is>
      </c>
      <c r="G252" t="inlineStr">
        <is>
          <t>SÖDERKÖPING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46288</v>
      </c>
      <c r="F253" t="inlineStr">
        <is>
          <t>ÖSTERGÖTLANDS LÄN</t>
        </is>
      </c>
      <c r="G253" t="inlineStr">
        <is>
          <t>SÖDERKÖPING</t>
        </is>
      </c>
      <c r="I253" t="n">
        <v>18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46288</v>
      </c>
      <c r="F254" t="inlineStr">
        <is>
          <t>ÖSTERGÖTLANDS LÄN</t>
        </is>
      </c>
      <c r="G254" t="inlineStr">
        <is>
          <t>SÖDERKÖPING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44956</v>
      </c>
      <c r="E255" s="1" t="n">
        <v>46288</v>
      </c>
      <c r="F255" t="inlineStr">
        <is>
          <t>ÖSTERGÖTLANDS LÄN</t>
        </is>
      </c>
      <c r="G255" t="inlineStr">
        <is>
          <t>SÖDERKÖPING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46288</v>
      </c>
      <c r="F256" t="inlineStr">
        <is>
          <t>ÖSTERGÖTLANDS LÄN</t>
        </is>
      </c>
      <c r="G256" t="inlineStr">
        <is>
          <t>SÖDERKÖPING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46288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44618</v>
      </c>
      <c r="E258" s="1" t="n">
        <v>46288</v>
      </c>
      <c r="F258" t="inlineStr">
        <is>
          <t>ÖSTERGÖTLANDS LÄN</t>
        </is>
      </c>
      <c r="G258" t="inlineStr">
        <is>
          <t>SÖDERKÖPING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46288</v>
      </c>
      <c r="F259" t="inlineStr">
        <is>
          <t>ÖSTERGÖTLANDS LÄN</t>
        </is>
      </c>
      <c r="G259" t="inlineStr">
        <is>
          <t>SÖDERKÖPING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46288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53889-2021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44469</v>
      </c>
      <c r="E261" s="1" t="n">
        <v>46288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46288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46288</v>
      </c>
      <c r="F263" t="inlineStr">
        <is>
          <t>ÖSTERGÖTLANDS LÄN</t>
        </is>
      </c>
      <c r="G263" t="inlineStr">
        <is>
          <t>SÖDERKÖPING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46288</v>
      </c>
      <c r="F264" t="inlineStr">
        <is>
          <t>ÖSTERGÖTLANDS LÄN</t>
        </is>
      </c>
      <c r="G264" t="inlineStr">
        <is>
          <t>SÖDERKÖPING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46288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46288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46288</v>
      </c>
      <c r="F267" t="inlineStr">
        <is>
          <t>ÖSTERGÖTLANDS LÄN</t>
        </is>
      </c>
      <c r="G267" t="inlineStr">
        <is>
          <t>SÖDERKÖPING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46288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46288</v>
      </c>
      <c r="F269" t="inlineStr">
        <is>
          <t>ÖSTERGÖTLANDS LÄN</t>
        </is>
      </c>
      <c r="G269" t="inlineStr">
        <is>
          <t>SÖDERKÖPING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45295</v>
      </c>
      <c r="E270" s="1" t="n">
        <v>46288</v>
      </c>
      <c r="F270" t="inlineStr">
        <is>
          <t>ÖSTERGÖTLANDS LÄN</t>
        </is>
      </c>
      <c r="G270" t="inlineStr">
        <is>
          <t>SÖDERKÖPING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46288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46219</v>
      </c>
      <c r="E272" s="1" t="n">
        <v>46288</v>
      </c>
      <c r="F272" t="inlineStr">
        <is>
          <t>ÖSTERGÖTLANDS LÄN</t>
        </is>
      </c>
      <c r="G272" t="inlineStr">
        <is>
          <t>SÖDERKÖPING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46288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46288</v>
      </c>
      <c r="F274" t="inlineStr">
        <is>
          <t>ÖSTERGÖTLANDS LÄN</t>
        </is>
      </c>
      <c r="G274" t="inlineStr">
        <is>
          <t>SÖDERKÖPING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46219</v>
      </c>
      <c r="E275" s="1" t="n">
        <v>46288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50040-2023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45215</v>
      </c>
      <c r="E276" s="1" t="n">
        <v>46288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Kyrkan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46288</v>
      </c>
      <c r="F277" t="inlineStr">
        <is>
          <t>ÖSTERGÖTLANDS LÄN</t>
        </is>
      </c>
      <c r="G277" t="inlineStr">
        <is>
          <t>SÖDERKÖPING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45489</v>
      </c>
      <c r="E278" s="1" t="n">
        <v>46288</v>
      </c>
      <c r="F278" t="inlineStr">
        <is>
          <t>ÖSTERGÖTLANDS LÄN</t>
        </is>
      </c>
      <c r="G278" t="inlineStr">
        <is>
          <t>SÖDERKÖPING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46227</v>
      </c>
      <c r="E279" s="1" t="n">
        <v>46288</v>
      </c>
      <c r="F279" t="inlineStr">
        <is>
          <t>ÖSTERGÖTLANDS LÄN</t>
        </is>
      </c>
      <c r="G279" t="inlineStr">
        <is>
          <t>SÖDERKÖPING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46288</v>
      </c>
      <c r="F280" t="inlineStr">
        <is>
          <t>ÖSTERGÖTLANDS LÄN</t>
        </is>
      </c>
      <c r="G280" t="inlineStr">
        <is>
          <t>SÖDERKÖPING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46227</v>
      </c>
      <c r="E281" s="1" t="n">
        <v>46288</v>
      </c>
      <c r="F281" t="inlineStr">
        <is>
          <t>ÖSTERGÖTLANDS LÄN</t>
        </is>
      </c>
      <c r="G281" t="inlineStr">
        <is>
          <t>SÖDERKÖPING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46288</v>
      </c>
      <c r="F282" t="inlineStr">
        <is>
          <t>ÖSTERGÖTLANDS LÄN</t>
        </is>
      </c>
      <c r="G282" t="inlineStr">
        <is>
          <t>SÖDERKÖPING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46288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45055</v>
      </c>
      <c r="E284" s="1" t="n">
        <v>46288</v>
      </c>
      <c r="F284" t="inlineStr">
        <is>
          <t>ÖSTERGÖTLANDS LÄN</t>
        </is>
      </c>
      <c r="G284" t="inlineStr">
        <is>
          <t>SÖDERKÖPING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45055</v>
      </c>
      <c r="E285" s="1" t="n">
        <v>46288</v>
      </c>
      <c r="F285" t="inlineStr">
        <is>
          <t>ÖSTERGÖTLANDS LÄN</t>
        </is>
      </c>
      <c r="G285" t="inlineStr">
        <is>
          <t>SÖDERKÖPING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46288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45692</v>
      </c>
      <c r="E287" s="1" t="n">
        <v>46288</v>
      </c>
      <c r="F287" t="inlineStr">
        <is>
          <t>ÖSTERGÖTLANDS LÄN</t>
        </is>
      </c>
      <c r="G287" t="inlineStr">
        <is>
          <t>SÖDERKÖPING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46288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45181</v>
      </c>
      <c r="E289" s="1" t="n">
        <v>46288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46288</v>
      </c>
      <c r="F290" t="inlineStr">
        <is>
          <t>ÖSTERGÖTLANDS LÄN</t>
        </is>
      </c>
      <c r="G290" t="inlineStr">
        <is>
          <t>SÖDERKÖPING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46288</v>
      </c>
      <c r="F291" t="inlineStr">
        <is>
          <t>ÖSTERGÖTLANDS LÄN</t>
        </is>
      </c>
      <c r="G291" t="inlineStr">
        <is>
          <t>SÖDERKÖPING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44965</v>
      </c>
      <c r="E292" s="1" t="n">
        <v>46288</v>
      </c>
      <c r="F292" t="inlineStr">
        <is>
          <t>ÖSTERGÖTLANDS LÄN</t>
        </is>
      </c>
      <c r="G292" t="inlineStr">
        <is>
          <t>SÖDERKÖPING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46288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Holmen skog AB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46288</v>
      </c>
      <c r="F294" t="inlineStr">
        <is>
          <t>ÖSTERGÖTLANDS LÄN</t>
        </is>
      </c>
      <c r="G294" t="inlineStr">
        <is>
          <t>SÖDERKÖPING</t>
        </is>
      </c>
      <c r="I294" t="n">
        <v>15.3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46288</v>
      </c>
      <c r="F295" t="inlineStr">
        <is>
          <t>ÖSTERGÖTLANDS LÄN</t>
        </is>
      </c>
      <c r="G295" t="inlineStr">
        <is>
          <t>SÖDERKÖPING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44593</v>
      </c>
      <c r="E296" s="1" t="n">
        <v>46288</v>
      </c>
      <c r="F296" t="inlineStr">
        <is>
          <t>ÖSTERGÖTLANDS LÄN</t>
        </is>
      </c>
      <c r="G296" t="inlineStr">
        <is>
          <t>SÖDERKÖPING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46288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44753</v>
      </c>
      <c r="E298" s="1" t="n">
        <v>46288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45595</v>
      </c>
      <c r="E299" s="1" t="n">
        <v>46288</v>
      </c>
      <c r="F299" t="inlineStr">
        <is>
          <t>ÖSTERGÖTLANDS LÄN</t>
        </is>
      </c>
      <c r="G299" t="inlineStr">
        <is>
          <t>SÖDERKÖPING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46288</v>
      </c>
      <c r="F300" t="inlineStr">
        <is>
          <t>ÖSTERGÖTLANDS LÄN</t>
        </is>
      </c>
      <c r="G300" t="inlineStr">
        <is>
          <t>SÖDERKÖPING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46241</v>
      </c>
      <c r="E301" s="1" t="n">
        <v>46288</v>
      </c>
      <c r="F301" t="inlineStr">
        <is>
          <t>ÖSTERGÖTLANDS LÄN</t>
        </is>
      </c>
      <c r="G301" t="inlineStr">
        <is>
          <t>SÖDERKÖPING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45297</v>
      </c>
      <c r="E302" s="1" t="n">
        <v>46288</v>
      </c>
      <c r="F302" t="inlineStr">
        <is>
          <t>ÖSTERGÖTLANDS LÄN</t>
        </is>
      </c>
      <c r="G302" t="inlineStr">
        <is>
          <t>SÖDERKÖPING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46288</v>
      </c>
      <c r="F303" t="inlineStr">
        <is>
          <t>ÖSTERGÖTLANDS LÄN</t>
        </is>
      </c>
      <c r="G303" t="inlineStr">
        <is>
          <t>SÖDERKÖPING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45097</v>
      </c>
      <c r="E304" s="1" t="n">
        <v>46288</v>
      </c>
      <c r="F304" t="inlineStr">
        <is>
          <t>ÖSTERGÖTLANDS LÄN</t>
        </is>
      </c>
      <c r="G304" t="inlineStr">
        <is>
          <t>SÖDERKÖPING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46288</v>
      </c>
      <c r="F305" t="inlineStr">
        <is>
          <t>ÖSTERGÖTLANDS LÄN</t>
        </is>
      </c>
      <c r="G305" t="inlineStr">
        <is>
          <t>SÖDERKÖPING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46288</v>
      </c>
      <c r="F306" t="inlineStr">
        <is>
          <t>ÖSTERGÖTLANDS LÄN</t>
        </is>
      </c>
      <c r="G306" t="inlineStr">
        <is>
          <t>SÖDERKÖPING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46288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Allmännings- och besparingsskogar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46288</v>
      </c>
      <c r="F308" t="inlineStr">
        <is>
          <t>ÖSTERGÖTLANDS LÄN</t>
        </is>
      </c>
      <c r="G308" t="inlineStr">
        <is>
          <t>SÖDERKÖPING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45707</v>
      </c>
      <c r="E309" s="1" t="n">
        <v>46288</v>
      </c>
      <c r="F309" t="inlineStr">
        <is>
          <t>ÖSTERGÖTLANDS LÄN</t>
        </is>
      </c>
      <c r="G309" t="inlineStr">
        <is>
          <t>SÖDERKÖPING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46241</v>
      </c>
      <c r="E310" s="1" t="n">
        <v>46288</v>
      </c>
      <c r="F310" t="inlineStr">
        <is>
          <t>ÖSTERGÖTLANDS LÄN</t>
        </is>
      </c>
      <c r="G310" t="inlineStr">
        <is>
          <t>SÖDERKÖPING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46288</v>
      </c>
      <c r="F311" t="inlineStr">
        <is>
          <t>ÖSTERGÖTLANDS LÄN</t>
        </is>
      </c>
      <c r="G311" t="inlineStr">
        <is>
          <t>SÖDERKÖPING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45055</v>
      </c>
      <c r="E312" s="1" t="n">
        <v>46288</v>
      </c>
      <c r="F312" t="inlineStr">
        <is>
          <t>ÖSTERGÖTLANDS LÄN</t>
        </is>
      </c>
      <c r="G312" t="inlineStr">
        <is>
          <t>SÖDERKÖPING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45297</v>
      </c>
      <c r="E313" s="1" t="n">
        <v>46288</v>
      </c>
      <c r="F313" t="inlineStr">
        <is>
          <t>ÖSTERGÖTLANDS LÄN</t>
        </is>
      </c>
      <c r="G313" t="inlineStr">
        <is>
          <t>SÖDERKÖPING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46288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46288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45737</v>
      </c>
      <c r="E316" s="1" t="n">
        <v>46288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Holmen skog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46288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46288</v>
      </c>
      <c r="F318" t="inlineStr">
        <is>
          <t>ÖSTERGÖTLANDS LÄN</t>
        </is>
      </c>
      <c r="G318" t="inlineStr">
        <is>
          <t>SÖDERKÖPING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46288</v>
      </c>
      <c r="F319" t="inlineStr">
        <is>
          <t>ÖSTERGÖTLANDS LÄN</t>
        </is>
      </c>
      <c r="G319" t="inlineStr">
        <is>
          <t>SÖDERKÖPING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46288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45504</v>
      </c>
      <c r="E321" s="1" t="n">
        <v>46288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45435</v>
      </c>
      <c r="E322" s="1" t="n">
        <v>46288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45601</v>
      </c>
      <c r="E323" s="1" t="n">
        <v>46288</v>
      </c>
      <c r="F323" t="inlineStr">
        <is>
          <t>ÖSTERGÖTLANDS LÄN</t>
        </is>
      </c>
      <c r="G323" t="inlineStr">
        <is>
          <t>SÖDERKÖPING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46288</v>
      </c>
      <c r="F324" t="inlineStr">
        <is>
          <t>ÖSTERGÖTLANDS LÄN</t>
        </is>
      </c>
      <c r="G324" t="inlineStr">
        <is>
          <t>SÖDERKÖPING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46288</v>
      </c>
      <c r="F325" t="inlineStr">
        <is>
          <t>ÖSTERGÖTLANDS LÄN</t>
        </is>
      </c>
      <c r="G325" t="inlineStr">
        <is>
          <t>SÖDERKÖPING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45504</v>
      </c>
      <c r="E326" s="1" t="n">
        <v>46288</v>
      </c>
      <c r="F326" t="inlineStr">
        <is>
          <t>ÖSTERGÖTLANDS LÄN</t>
        </is>
      </c>
      <c r="G326" t="inlineStr">
        <is>
          <t>SÖDERKÖPING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46288</v>
      </c>
      <c r="F327" t="inlineStr">
        <is>
          <t>ÖSTERGÖTLANDS LÄN</t>
        </is>
      </c>
      <c r="G327" t="inlineStr">
        <is>
          <t>SÖDERKÖPING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45790</v>
      </c>
      <c r="E328" s="1" t="n">
        <v>46288</v>
      </c>
      <c r="F328" t="inlineStr">
        <is>
          <t>ÖSTERGÖTLANDS LÄN</t>
        </is>
      </c>
      <c r="G328" t="inlineStr">
        <is>
          <t>SÖDERKÖPING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46288</v>
      </c>
      <c r="F329" t="inlineStr">
        <is>
          <t>ÖSTERGÖTLANDS LÄN</t>
        </is>
      </c>
      <c r="G329" t="inlineStr">
        <is>
          <t>SÖDERKÖPING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46288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45797</v>
      </c>
      <c r="E331" s="1" t="n">
        <v>46288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46288</v>
      </c>
      <c r="F332" t="inlineStr">
        <is>
          <t>ÖSTERGÖTLANDS LÄN</t>
        </is>
      </c>
      <c r="G332" t="inlineStr">
        <is>
          <t>SÖDERKÖPING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46288</v>
      </c>
      <c r="F333" t="inlineStr">
        <is>
          <t>ÖSTERGÖTLANDS LÄN</t>
        </is>
      </c>
      <c r="G333" t="inlineStr">
        <is>
          <t>SÖDERKÖPING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46288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46288</v>
      </c>
      <c r="F335" t="inlineStr">
        <is>
          <t>ÖSTERGÖTLANDS LÄN</t>
        </is>
      </c>
      <c r="G335" t="inlineStr">
        <is>
          <t>SÖDERKÖPING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46288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46288</v>
      </c>
      <c r="F337" t="inlineStr">
        <is>
          <t>ÖSTERGÖTLANDS LÄN</t>
        </is>
      </c>
      <c r="G337" t="inlineStr">
        <is>
          <t>SÖDERKÖPING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46288</v>
      </c>
      <c r="F338" t="inlineStr">
        <is>
          <t>ÖSTERGÖTLANDS LÄN</t>
        </is>
      </c>
      <c r="G338" t="inlineStr">
        <is>
          <t>SÖDERKÖPING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46288</v>
      </c>
      <c r="F339" t="inlineStr">
        <is>
          <t>ÖSTERGÖTLANDS LÄN</t>
        </is>
      </c>
      <c r="G339" t="inlineStr">
        <is>
          <t>SÖDERKÖPING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46288</v>
      </c>
      <c r="F340" t="inlineStr">
        <is>
          <t>ÖSTERGÖTLANDS LÄN</t>
        </is>
      </c>
      <c r="G340" t="inlineStr">
        <is>
          <t>SÖDERKÖPING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45849</v>
      </c>
      <c r="E341" s="1" t="n">
        <v>46288</v>
      </c>
      <c r="F341" t="inlineStr">
        <is>
          <t>ÖSTERGÖTLANDS LÄN</t>
        </is>
      </c>
      <c r="G341" t="inlineStr">
        <is>
          <t>SÖDERKÖPING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46288</v>
      </c>
      <c r="F342" t="inlineStr">
        <is>
          <t>ÖSTERGÖTLANDS LÄN</t>
        </is>
      </c>
      <c r="G342" t="inlineStr">
        <is>
          <t>SÖDERKÖPING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46288</v>
      </c>
      <c r="F343" t="inlineStr">
        <is>
          <t>ÖSTERGÖTLANDS LÄN</t>
        </is>
      </c>
      <c r="G343" t="inlineStr">
        <is>
          <t>SÖDERKÖPING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46288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46288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46288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46288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46288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46288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2026-09-23T01:56:01Z</dcterms:created>
  <dcterms:modified xmlns:dcterms="http://purl.org/dc/terms/" xmlns:xsi="http://www.w3.org/2001/XMLSchema-instance" xsi:type="dcterms:W3CDTF">2026-09-23T01:56:01Z</dcterms:modified>
</cp:coreProperties>
</file>