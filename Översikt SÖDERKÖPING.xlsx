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46226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46226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46226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46226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46226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46226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46226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46226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46226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46226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46226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46226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46226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46226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46226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46226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46226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46226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46226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46226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46226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46226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46226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46226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46226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17632-2026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46226</v>
      </c>
      <c r="F30" t="inlineStr">
        <is>
          <t>ÖSTERGÖTLANDS LÄN</t>
        </is>
      </c>
      <c r="G30" t="inlineStr">
        <is>
          <t>SÖDERKÖPING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HYPERLINK("https://klasma.github.io/Logging_0582/artfynd/A 17632-2026 artfynd.xlsx", "A 17632-2026")</f>
        <v/>
      </c>
      <c r="X30">
        <f>HYPERLINK("https://klasma.github.io/Logging_0582/kartor/A 17632-2026 karta.png", "A 17632-2026")</f>
        <v/>
      </c>
      <c r="Y30">
        <f>HYPERLINK("https://klasma.github.io/Logging_0582/kartor_geotiff/A 17632-2026 georefererad karta.tif", "A 17632-2026")</f>
        <v/>
      </c>
      <c r="AA30">
        <f>HYPERLINK("https://klasma.github.io/Logging_0582/klagomål/A 17632-2026 FSC-klagomål.docx", "A 17632-2026")</f>
        <v/>
      </c>
      <c r="AB30">
        <f>HYPERLINK("https://klasma.github.io/Logging_0582/klagomålsmail/A 17632-2026 FSC-klagomål mail.docx", "A 17632-2026")</f>
        <v/>
      </c>
      <c r="AC30">
        <f>HYPERLINK("https://klasma.github.io/Logging_0582/tillsyn/A 17632-2026 tillsynsbegäran.docx", "A 17632-2026")</f>
        <v/>
      </c>
      <c r="AD30">
        <f>HYPERLINK("https://klasma.github.io/Logging_0582/tillsynsmail/A 17632-2026 tillsynsbegäran mail.docx", "A 17632-2026")</f>
        <v/>
      </c>
    </row>
    <row r="31" ht="15" customHeight="1">
      <c r="A31" t="inlineStr">
        <is>
          <t>A 20269-2026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46226</v>
      </c>
      <c r="F31" t="inlineStr">
        <is>
          <t>ÖSTERGÖTLANDS LÄN</t>
        </is>
      </c>
      <c r="G31" t="inlineStr">
        <is>
          <t>SÖDERKÖPING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Kösa</t>
        </is>
      </c>
      <c r="W31">
        <f>HYPERLINK("https://klasma.github.io/Logging_0582/artfynd/A 20269-2026 artfynd.xlsx", "A 20269-2026")</f>
        <v/>
      </c>
      <c r="X31">
        <f>HYPERLINK("https://klasma.github.io/Logging_0582/kartor/A 20269-2026 karta.png", "A 20269-2026")</f>
        <v/>
      </c>
      <c r="Y31">
        <f>HYPERLINK("https://klasma.github.io/Logging_0582/kartor_geotiff/A 20269-2026 georefererad karta.tif", "A 20269-2026")</f>
        <v/>
      </c>
      <c r="AA31">
        <f>HYPERLINK("https://klasma.github.io/Logging_0582/klagomål/A 20269-2026 FSC-klagomål.docx", "A 20269-2026")</f>
        <v/>
      </c>
      <c r="AB31">
        <f>HYPERLINK("https://klasma.github.io/Logging_0582/klagomålsmail/A 20269-2026 FSC-klagomål mail.docx", "A 20269-2026")</f>
        <v/>
      </c>
      <c r="AC31">
        <f>HYPERLINK("https://klasma.github.io/Logging_0582/tillsyn/A 20269-2026 tillsynsbegäran.docx", "A 20269-2026")</f>
        <v/>
      </c>
      <c r="AD31">
        <f>HYPERLINK("https://klasma.github.io/Logging_0582/tillsynsmail/A 20269-2026 tillsynsbegäran mail.docx", "A 20269-2026")</f>
        <v/>
      </c>
    </row>
    <row r="32" ht="15" customHeight="1">
      <c r="A32" t="inlineStr">
        <is>
          <t>A 30324-2024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45490</v>
      </c>
      <c r="E32" s="1" t="n">
        <v>46226</v>
      </c>
      <c r="F32" t="inlineStr">
        <is>
          <t>ÖSTERGÖTLANDS LÄN</t>
        </is>
      </c>
      <c r="G32" t="inlineStr">
        <is>
          <t>SÖDERKÖPING</t>
        </is>
      </c>
      <c r="I32" t="n">
        <v>10.9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Nattskärra</t>
        </is>
      </c>
      <c r="W32">
        <f>HYPERLINK("https://klasma.github.io/Logging_0582/artfynd/A 30324-2024 artfynd.xlsx", "A 30324-2024")</f>
        <v/>
      </c>
      <c r="X32">
        <f>HYPERLINK("https://klasma.github.io/Logging_0582/kartor/A 30324-2024 karta.png", "A 30324-2024")</f>
        <v/>
      </c>
      <c r="Y32">
        <f>HYPERLINK("https://klasma.github.io/Logging_0582/kartor_geotiff/A 30324-2024 georefererad karta.tif", "A 30324-2024")</f>
        <v/>
      </c>
      <c r="AA32">
        <f>HYPERLINK("https://klasma.github.io/Logging_0582/klagomål/A 30324-2024 FSC-klagomål.docx", "A 30324-2024")</f>
        <v/>
      </c>
      <c r="AB32">
        <f>HYPERLINK("https://klasma.github.io/Logging_0582/klagomålsmail/A 30324-2024 FSC-klagomål mail.docx", "A 30324-2024")</f>
        <v/>
      </c>
      <c r="AC32">
        <f>HYPERLINK("https://klasma.github.io/Logging_0582/tillsyn/A 30324-2024 tillsynsbegäran.docx", "A 30324-2024")</f>
        <v/>
      </c>
      <c r="AD32">
        <f>HYPERLINK("https://klasma.github.io/Logging_0582/tillsynsmail/A 30324-2024 tillsynsbegäran mail.docx", "A 30324-2024")</f>
        <v/>
      </c>
      <c r="AE32">
        <f>HYPERLINK("https://klasma.github.io/Logging_0582/fåglar/A 30324-2024 prioriterade fågelarter.docx", "A 30324-2024")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46226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46226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HYPERLINK("https://klasma.github.io/Logging_0582/artfynd/A 4709-2025 artfynd.xlsx", "A 4709-2025")</f>
        <v/>
      </c>
      <c r="X34">
        <f>HYPERLINK("https://klasma.github.io/Logging_0582/kartor/A 4709-2025 karta.png", "A 4709-2025")</f>
        <v/>
      </c>
      <c r="Y34">
        <f>HYPERLINK("https://klasma.github.io/Logging_0582/kartor_geotiff/A 4709-2025 georefererad karta.tif", "A 4709-2025")</f>
        <v/>
      </c>
      <c r="AA34">
        <f>HYPERLINK("https://klasma.github.io/Logging_0582/klagomål/A 4709-2025 FSC-klagomål.docx", "A 4709-2025")</f>
        <v/>
      </c>
      <c r="AB34">
        <f>HYPERLINK("https://klasma.github.io/Logging_0582/klagomålsmail/A 4709-2025 FSC-klagomål mail.docx", "A 4709-2025")</f>
        <v/>
      </c>
      <c r="AC34">
        <f>HYPERLINK("https://klasma.github.io/Logging_0582/tillsyn/A 4709-2025 tillsynsbegäran.docx", "A 4709-2025")</f>
        <v/>
      </c>
      <c r="AD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46226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46226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46226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46226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46226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46226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46226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46226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46226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46226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46226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44862</v>
      </c>
      <c r="E46" s="1" t="n">
        <v>46226</v>
      </c>
      <c r="F46" t="inlineStr">
        <is>
          <t>ÖSTERGÖTLANDS LÄN</t>
        </is>
      </c>
      <c r="G46" t="inlineStr">
        <is>
          <t>SÖDERKÖPING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44874</v>
      </c>
      <c r="E47" s="1" t="n">
        <v>46226</v>
      </c>
      <c r="F47" t="inlineStr">
        <is>
          <t>ÖSTERGÖTLANDS LÄN</t>
        </is>
      </c>
      <c r="G47" t="inlineStr">
        <is>
          <t>SÖDERKÖPING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40642-2021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44420</v>
      </c>
      <c r="E48" s="1" t="n">
        <v>46226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46226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46226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46226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46226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46226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46226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46226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46226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46226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46226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46226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46226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46226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46226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46226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46226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46226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46226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46226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46226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46226</v>
      </c>
      <c r="F69" t="inlineStr">
        <is>
          <t>ÖSTERGÖTLANDS LÄN</t>
        </is>
      </c>
      <c r="G69" t="inlineStr">
        <is>
          <t>SÖDERKÖPING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46226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46226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46226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46226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9002-2023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46226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Allmännings- och besparingsskogar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46226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46226</v>
      </c>
      <c r="F76" t="inlineStr">
        <is>
          <t>ÖSTERGÖTLANDS LÄN</t>
        </is>
      </c>
      <c r="G76" t="inlineStr">
        <is>
          <t>SÖDERKÖPING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44495</v>
      </c>
      <c r="E77" s="1" t="n">
        <v>46226</v>
      </c>
      <c r="F77" t="inlineStr">
        <is>
          <t>ÖSTERGÖTLANDS LÄN</t>
        </is>
      </c>
      <c r="G77" t="inlineStr">
        <is>
          <t>SÖDERKÖPING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45667</v>
      </c>
      <c r="E78" s="1" t="n">
        <v>46226</v>
      </c>
      <c r="F78" t="inlineStr">
        <is>
          <t>ÖSTERGÖTLANDS LÄN</t>
        </is>
      </c>
      <c r="G78" t="inlineStr">
        <is>
          <t>SÖDERKÖPING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20221-2023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45055</v>
      </c>
      <c r="E79" s="1" t="n">
        <v>46226</v>
      </c>
      <c r="F79" t="inlineStr">
        <is>
          <t>ÖSTERGÖTLANDS LÄN</t>
        </is>
      </c>
      <c r="G79" t="inlineStr">
        <is>
          <t>SÖDERKÖPING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46226</v>
      </c>
      <c r="F80" t="inlineStr">
        <is>
          <t>ÖSTERGÖTLANDS LÄN</t>
        </is>
      </c>
      <c r="G80" t="inlineStr">
        <is>
          <t>SÖDERKÖPING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46226</v>
      </c>
      <c r="F81" t="inlineStr">
        <is>
          <t>ÖSTERGÖTLANDS LÄN</t>
        </is>
      </c>
      <c r="G81" t="inlineStr">
        <is>
          <t>SÖDERKÖPING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44958</v>
      </c>
      <c r="E82" s="1" t="n">
        <v>46226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45736</v>
      </c>
      <c r="E83" s="1" t="n">
        <v>46226</v>
      </c>
      <c r="F83" t="inlineStr">
        <is>
          <t>ÖSTERGÖTLANDS LÄN</t>
        </is>
      </c>
      <c r="G83" t="inlineStr">
        <is>
          <t>SÖDERKÖPING</t>
        </is>
      </c>
      <c r="H83" t="inlineStr">
        <is>
          <t>Holmen skog AB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45028</v>
      </c>
      <c r="E84" s="1" t="n">
        <v>46226</v>
      </c>
      <c r="F84" t="inlineStr">
        <is>
          <t>ÖSTERGÖTLANDS LÄN</t>
        </is>
      </c>
      <c r="G84" t="inlineStr">
        <is>
          <t>SÖDERKÖPING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61511-2023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46226</v>
      </c>
      <c r="F85" t="inlineStr">
        <is>
          <t>ÖSTERGÖTLANDS LÄN</t>
        </is>
      </c>
      <c r="G85" t="inlineStr">
        <is>
          <t>SÖDERKÖPING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44736</v>
      </c>
      <c r="E86" s="1" t="n">
        <v>46226</v>
      </c>
      <c r="F86" t="inlineStr">
        <is>
          <t>ÖSTERGÖTLANDS LÄN</t>
        </is>
      </c>
      <c r="G86" t="inlineStr">
        <is>
          <t>SÖDERKÖPING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45190</v>
      </c>
      <c r="E87" s="1" t="n">
        <v>46226</v>
      </c>
      <c r="F87" t="inlineStr">
        <is>
          <t>ÖSTERGÖTLANDS LÄN</t>
        </is>
      </c>
      <c r="G87" t="inlineStr">
        <is>
          <t>SÖDERKÖPING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25790-2023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45090</v>
      </c>
      <c r="E88" s="1" t="n">
        <v>46226</v>
      </c>
      <c r="F88" t="inlineStr">
        <is>
          <t>ÖSTERGÖTLANDS LÄN</t>
        </is>
      </c>
      <c r="G88" t="inlineStr">
        <is>
          <t>SÖDERKÖPING</t>
        </is>
      </c>
      <c r="I88" t="n">
        <v>7.9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45663</v>
      </c>
      <c r="E89" s="1" t="n">
        <v>46226</v>
      </c>
      <c r="F89" t="inlineStr">
        <is>
          <t>ÖSTERGÖTLANDS LÄN</t>
        </is>
      </c>
      <c r="G89" t="inlineStr">
        <is>
          <t>SÖDERKÖPING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57349-2023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46226</v>
      </c>
      <c r="F90" t="inlineStr">
        <is>
          <t>ÖSTERGÖTLANDS LÄN</t>
        </is>
      </c>
      <c r="G90" t="inlineStr">
        <is>
          <t>SÖDERKÖPING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45222</v>
      </c>
      <c r="E91" s="1" t="n">
        <v>46226</v>
      </c>
      <c r="F91" t="inlineStr">
        <is>
          <t>ÖSTERGÖTLANDS LÄN</t>
        </is>
      </c>
      <c r="G91" t="inlineStr">
        <is>
          <t>SÖDERKÖPING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37694-2023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45159</v>
      </c>
      <c r="E92" s="1" t="n">
        <v>46226</v>
      </c>
      <c r="F92" t="inlineStr">
        <is>
          <t>ÖSTERGÖTLANDS LÄN</t>
        </is>
      </c>
      <c r="G92" t="inlineStr">
        <is>
          <t>SÖDERKÖPING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46226</v>
      </c>
      <c r="F93" t="inlineStr">
        <is>
          <t>ÖSTERGÖTLANDS LÄN</t>
        </is>
      </c>
      <c r="G93" t="inlineStr">
        <is>
          <t>SÖDERKÖPING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46226</v>
      </c>
      <c r="F94" t="inlineStr">
        <is>
          <t>ÖSTERGÖTLANDS LÄN</t>
        </is>
      </c>
      <c r="G94" t="inlineStr">
        <is>
          <t>SÖDERKÖPING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44979</v>
      </c>
      <c r="E95" s="1" t="n">
        <v>46226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46226</v>
      </c>
      <c r="F96" t="inlineStr">
        <is>
          <t>ÖSTERGÖTLANDS LÄN</t>
        </is>
      </c>
      <c r="G96" t="inlineStr">
        <is>
          <t>SÖDERKÖPING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46226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Holmen skog AB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33726-2023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46226</v>
      </c>
      <c r="F98" t="inlineStr">
        <is>
          <t>ÖSTERGÖTLANDS LÄN</t>
        </is>
      </c>
      <c r="G98" t="inlineStr">
        <is>
          <t>SÖDERKÖPING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46226</v>
      </c>
      <c r="F99" t="inlineStr">
        <is>
          <t>ÖSTERGÖTLANDS LÄN</t>
        </is>
      </c>
      <c r="G99" t="inlineStr">
        <is>
          <t>SÖDERKÖPING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45119</v>
      </c>
      <c r="E100" s="1" t="n">
        <v>46226</v>
      </c>
      <c r="F100" t="inlineStr">
        <is>
          <t>ÖSTERGÖTLANDS LÄN</t>
        </is>
      </c>
      <c r="G100" t="inlineStr">
        <is>
          <t>SÖDERKÖPING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7452-2026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46226</v>
      </c>
      <c r="F101" t="inlineStr">
        <is>
          <t>ÖSTERGÖTLANDS LÄN</t>
        </is>
      </c>
      <c r="G101" t="inlineStr">
        <is>
          <t>SÖDERKÖPING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46226</v>
      </c>
      <c r="F102" t="inlineStr">
        <is>
          <t>ÖSTERGÖTLANDS LÄN</t>
        </is>
      </c>
      <c r="G102" t="inlineStr">
        <is>
          <t>SÖDERKÖPING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46061</v>
      </c>
      <c r="E103" s="1" t="n">
        <v>46226</v>
      </c>
      <c r="F103" t="inlineStr">
        <is>
          <t>ÖSTERGÖTLANDS LÄN</t>
        </is>
      </c>
      <c r="G103" t="inlineStr">
        <is>
          <t>SÖDERKÖPING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7852-2026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46062</v>
      </c>
      <c r="E104" s="1" t="n">
        <v>46226</v>
      </c>
      <c r="F104" t="inlineStr">
        <is>
          <t>ÖSTERGÖTLANDS LÄN</t>
        </is>
      </c>
      <c r="G104" t="inlineStr">
        <is>
          <t>SÖDERKÖPING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45742</v>
      </c>
      <c r="E105" s="1" t="n">
        <v>46226</v>
      </c>
      <c r="F105" t="inlineStr">
        <is>
          <t>ÖSTERGÖTLANDS LÄN</t>
        </is>
      </c>
      <c r="G105" t="inlineStr">
        <is>
          <t>SÖDERKÖPING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7836-2026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46226</v>
      </c>
      <c r="F106" t="inlineStr">
        <is>
          <t>ÖSTERGÖTLANDS LÄN</t>
        </is>
      </c>
      <c r="G106" t="inlineStr">
        <is>
          <t>SÖDERKÖPING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46226</v>
      </c>
      <c r="F107" t="inlineStr">
        <is>
          <t>ÖSTERGÖTLANDS LÄN</t>
        </is>
      </c>
      <c r="G107" t="inlineStr">
        <is>
          <t>SÖDERKÖPING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46226</v>
      </c>
      <c r="F108" t="inlineStr">
        <is>
          <t>ÖSTERGÖTLANDS LÄN</t>
        </is>
      </c>
      <c r="G108" t="inlineStr">
        <is>
          <t>SÖDERKÖPING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45817</v>
      </c>
      <c r="E109" s="1" t="n">
        <v>46226</v>
      </c>
      <c r="F109" t="inlineStr">
        <is>
          <t>ÖSTERGÖTLANDS LÄN</t>
        </is>
      </c>
      <c r="G109" t="inlineStr">
        <is>
          <t>SÖDERKÖPING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28487-2025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46226</v>
      </c>
      <c r="F110" t="inlineStr">
        <is>
          <t>ÖSTERGÖTLANDS LÄN</t>
        </is>
      </c>
      <c r="G110" t="inlineStr">
        <is>
          <t>SÖDERKÖPING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46226</v>
      </c>
      <c r="F111" t="inlineStr">
        <is>
          <t>ÖSTERGÖTLANDS LÄN</t>
        </is>
      </c>
      <c r="G111" t="inlineStr">
        <is>
          <t>SÖDERKÖPING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45190</v>
      </c>
      <c r="E112" s="1" t="n">
        <v>46226</v>
      </c>
      <c r="F112" t="inlineStr">
        <is>
          <t>ÖSTERGÖTLANDS LÄN</t>
        </is>
      </c>
      <c r="G112" t="inlineStr">
        <is>
          <t>SÖDERKÖPING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46226</v>
      </c>
      <c r="F113" t="inlineStr">
        <is>
          <t>ÖSTERGÖTLANDS LÄN</t>
        </is>
      </c>
      <c r="G113" t="inlineStr">
        <is>
          <t>SÖDERKÖPING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45191</v>
      </c>
      <c r="E114" s="1" t="n">
        <v>46226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45818</v>
      </c>
      <c r="E115" s="1" t="n">
        <v>46226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46226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46226</v>
      </c>
      <c r="F117" t="inlineStr">
        <is>
          <t>ÖSTERGÖTLANDS LÄN</t>
        </is>
      </c>
      <c r="G117" t="inlineStr">
        <is>
          <t>SÖDERKÖPING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46226</v>
      </c>
      <c r="F118" t="inlineStr">
        <is>
          <t>ÖSTERGÖTLANDS LÄN</t>
        </is>
      </c>
      <c r="G118" t="inlineStr">
        <is>
          <t>SÖDERKÖPING</t>
        </is>
      </c>
      <c r="I118" t="n">
        <v>26.6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45194</v>
      </c>
      <c r="E119" s="1" t="n">
        <v>46226</v>
      </c>
      <c r="F119" t="inlineStr">
        <is>
          <t>ÖSTERGÖTLANDS LÄN</t>
        </is>
      </c>
      <c r="G119" t="inlineStr">
        <is>
          <t>SÖDERKÖPING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11005-2026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46079</v>
      </c>
      <c r="E120" s="1" t="n">
        <v>46226</v>
      </c>
      <c r="F120" t="inlineStr">
        <is>
          <t>ÖSTERGÖTLANDS LÄN</t>
        </is>
      </c>
      <c r="G120" t="inlineStr">
        <is>
          <t>SÖDERKÖPING</t>
        </is>
      </c>
      <c r="H120" t="inlineStr">
        <is>
          <t>Kyrkan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46084</v>
      </c>
      <c r="E121" s="1" t="n">
        <v>46226</v>
      </c>
      <c r="F121" t="inlineStr">
        <is>
          <t>ÖSTERGÖTLANDS LÄN</t>
        </is>
      </c>
      <c r="G121" t="inlineStr">
        <is>
          <t>SÖDERKÖPING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46226</v>
      </c>
      <c r="F122" t="inlineStr">
        <is>
          <t>ÖSTERGÖTLANDS LÄN</t>
        </is>
      </c>
      <c r="G122" t="inlineStr">
        <is>
          <t>SÖDERKÖPING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46226</v>
      </c>
      <c r="F123" t="inlineStr">
        <is>
          <t>ÖSTERGÖTLANDS LÄN</t>
        </is>
      </c>
      <c r="G123" t="inlineStr">
        <is>
          <t>SÖDERKÖPING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46226</v>
      </c>
      <c r="F124" t="inlineStr">
        <is>
          <t>ÖSTERGÖTLANDS LÄN</t>
        </is>
      </c>
      <c r="G124" t="inlineStr">
        <is>
          <t>SÖDERKÖPING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46226</v>
      </c>
      <c r="F125" t="inlineStr">
        <is>
          <t>ÖSTERGÖTLANDS LÄN</t>
        </is>
      </c>
      <c r="G125" t="inlineStr">
        <is>
          <t>SÖDERKÖPING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64211-2023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46226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46226</v>
      </c>
      <c r="F127" t="inlineStr">
        <is>
          <t>ÖSTERGÖTLANDS LÄN</t>
        </is>
      </c>
      <c r="G127" t="inlineStr">
        <is>
          <t>SÖDERKÖPING</t>
        </is>
      </c>
      <c r="H127" t="inlineStr">
        <is>
          <t>Allmännings- och besparingsskogar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46226</v>
      </c>
      <c r="F128" t="inlineStr">
        <is>
          <t>ÖSTERGÖTLANDS LÄN</t>
        </is>
      </c>
      <c r="G128" t="inlineStr">
        <is>
          <t>SÖDERKÖPING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45648-2025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46226</v>
      </c>
      <c r="F129" t="inlineStr">
        <is>
          <t>ÖSTERGÖTLANDS LÄN</t>
        </is>
      </c>
      <c r="G129" t="inlineStr">
        <is>
          <t>SÖDERKÖPING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46226</v>
      </c>
      <c r="F130" t="inlineStr">
        <is>
          <t>ÖSTERGÖTLANDS LÄN</t>
        </is>
      </c>
      <c r="G130" t="inlineStr">
        <is>
          <t>SÖDERKÖPING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14777-2026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46226</v>
      </c>
      <c r="F131" t="inlineStr">
        <is>
          <t>ÖSTERGÖTLANDS LÄN</t>
        </is>
      </c>
      <c r="G131" t="inlineStr">
        <is>
          <t>SÖDERKÖPING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46226</v>
      </c>
      <c r="F132" t="inlineStr">
        <is>
          <t>ÖSTERGÖTLANDS LÄN</t>
        </is>
      </c>
      <c r="G132" t="inlineStr">
        <is>
          <t>SÖDERKÖPING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45923</v>
      </c>
      <c r="E133" s="1" t="n">
        <v>46226</v>
      </c>
      <c r="F133" t="inlineStr">
        <is>
          <t>ÖSTERGÖTLANDS LÄN</t>
        </is>
      </c>
      <c r="G133" t="inlineStr">
        <is>
          <t>SÖDERKÖPING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46226</v>
      </c>
      <c r="F134" t="inlineStr">
        <is>
          <t>ÖSTERGÖTLANDS LÄN</t>
        </is>
      </c>
      <c r="G134" t="inlineStr">
        <is>
          <t>SÖDERKÖPING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46226</v>
      </c>
      <c r="F135" t="inlineStr">
        <is>
          <t>ÖSTERGÖTLANDS LÄN</t>
        </is>
      </c>
      <c r="G135" t="inlineStr">
        <is>
          <t>SÖDERKÖPING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46226</v>
      </c>
      <c r="F136" t="inlineStr">
        <is>
          <t>ÖSTERGÖTLANDS LÄN</t>
        </is>
      </c>
      <c r="G136" t="inlineStr">
        <is>
          <t>SÖDERKÖPING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46226</v>
      </c>
      <c r="F137" t="inlineStr">
        <is>
          <t>ÖSTERGÖTLANDS LÄN</t>
        </is>
      </c>
      <c r="G137" t="inlineStr">
        <is>
          <t>SÖDERKÖPING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46226</v>
      </c>
      <c r="F138" t="inlineStr">
        <is>
          <t>ÖSTERGÖTLANDS LÄN</t>
        </is>
      </c>
      <c r="G138" t="inlineStr">
        <is>
          <t>SÖDERKÖPING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46226</v>
      </c>
      <c r="F139" t="inlineStr">
        <is>
          <t>ÖSTERGÖTLANDS LÄN</t>
        </is>
      </c>
      <c r="G139" t="inlineStr">
        <is>
          <t>SÖDERKÖPING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45926</v>
      </c>
      <c r="E140" s="1" t="n">
        <v>46226</v>
      </c>
      <c r="F140" t="inlineStr">
        <is>
          <t>ÖSTERGÖTLANDS LÄN</t>
        </is>
      </c>
      <c r="G140" t="inlineStr">
        <is>
          <t>SÖDERKÖPING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46226</v>
      </c>
      <c r="F141" t="inlineStr">
        <is>
          <t>ÖSTERGÖTLANDS LÄN</t>
        </is>
      </c>
      <c r="G141" t="inlineStr">
        <is>
          <t>SÖDERKÖPING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46226</v>
      </c>
      <c r="F142" t="inlineStr">
        <is>
          <t>ÖSTERGÖTLANDS LÄN</t>
        </is>
      </c>
      <c r="G142" t="inlineStr">
        <is>
          <t>SÖDERKÖPING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46226</v>
      </c>
      <c r="F143" t="inlineStr">
        <is>
          <t>ÖSTERGÖTLANDS LÄN</t>
        </is>
      </c>
      <c r="G143" t="inlineStr">
        <is>
          <t>SÖDERKÖPING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46226</v>
      </c>
      <c r="F144" t="inlineStr">
        <is>
          <t>ÖSTERGÖTLANDS LÄN</t>
        </is>
      </c>
      <c r="G144" t="inlineStr">
        <is>
          <t>SÖDERKÖPING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46226</v>
      </c>
      <c r="F145" t="inlineStr">
        <is>
          <t>ÖSTERGÖTLANDS LÄN</t>
        </is>
      </c>
      <c r="G145" t="inlineStr">
        <is>
          <t>SÖDERKÖPING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46226</v>
      </c>
      <c r="F146" t="inlineStr">
        <is>
          <t>ÖSTERGÖTLANDS LÄN</t>
        </is>
      </c>
      <c r="G146" t="inlineStr">
        <is>
          <t>SÖDERKÖPING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45791</v>
      </c>
      <c r="E147" s="1" t="n">
        <v>46226</v>
      </c>
      <c r="F147" t="inlineStr">
        <is>
          <t>ÖSTERGÖTLANDS LÄN</t>
        </is>
      </c>
      <c r="G147" t="inlineStr">
        <is>
          <t>SÖDERKÖPING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46226</v>
      </c>
      <c r="F148" t="inlineStr">
        <is>
          <t>ÖSTERGÖTLANDS LÄN</t>
        </is>
      </c>
      <c r="G148" t="inlineStr">
        <is>
          <t>SÖDERKÖPING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46226</v>
      </c>
      <c r="F149" t="inlineStr">
        <is>
          <t>ÖSTERGÖTLANDS LÄN</t>
        </is>
      </c>
      <c r="G149" t="inlineStr">
        <is>
          <t>SÖDERKÖPING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44965</v>
      </c>
      <c r="E150" s="1" t="n">
        <v>46226</v>
      </c>
      <c r="F150" t="inlineStr">
        <is>
          <t>ÖSTERGÖTLANDS LÄN</t>
        </is>
      </c>
      <c r="G150" t="inlineStr">
        <is>
          <t>SÖDERKÖPING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46226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Holmen skog AB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44865</v>
      </c>
      <c r="E152" s="1" t="n">
        <v>46226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46226</v>
      </c>
      <c r="F153" t="inlineStr">
        <is>
          <t>ÖSTERGÖTLANDS LÄN</t>
        </is>
      </c>
      <c r="G153" t="inlineStr">
        <is>
          <t>SÖDERKÖPING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45106</v>
      </c>
      <c r="E154" s="1" t="n">
        <v>46226</v>
      </c>
      <c r="F154" t="inlineStr">
        <is>
          <t>ÖSTERGÖTLANDS LÄN</t>
        </is>
      </c>
      <c r="G154" t="inlineStr">
        <is>
          <t>SÖDERKÖPING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45119</v>
      </c>
      <c r="E155" s="1" t="n">
        <v>46226</v>
      </c>
      <c r="F155" t="inlineStr">
        <is>
          <t>ÖSTERGÖTLANDS LÄN</t>
        </is>
      </c>
      <c r="G155" t="inlineStr">
        <is>
          <t>SÖDERKÖPING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46226</v>
      </c>
      <c r="F156" t="inlineStr">
        <is>
          <t>ÖSTERGÖTLANDS LÄN</t>
        </is>
      </c>
      <c r="G156" t="inlineStr">
        <is>
          <t>SÖDERKÖPING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46226</v>
      </c>
      <c r="F157" t="inlineStr">
        <is>
          <t>ÖSTERGÖTLANDS LÄN</t>
        </is>
      </c>
      <c r="G157" t="inlineStr">
        <is>
          <t>SÖDERKÖPING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46226</v>
      </c>
      <c r="F158" t="inlineStr">
        <is>
          <t>ÖSTERGÖTLANDS LÄN</t>
        </is>
      </c>
      <c r="G158" t="inlineStr">
        <is>
          <t>SÖDERKÖPING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46226</v>
      </c>
      <c r="F159" t="inlineStr">
        <is>
          <t>ÖSTERGÖTLANDS LÄN</t>
        </is>
      </c>
      <c r="G159" t="inlineStr">
        <is>
          <t>SÖDERKÖPING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45250</v>
      </c>
      <c r="E160" s="1" t="n">
        <v>46226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Holmen skog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46134</v>
      </c>
      <c r="E161" s="1" t="n">
        <v>46226</v>
      </c>
      <c r="F161" t="inlineStr">
        <is>
          <t>ÖSTERGÖTLANDS LÄN</t>
        </is>
      </c>
      <c r="G161" t="inlineStr">
        <is>
          <t>SÖDERKÖPING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45838</v>
      </c>
      <c r="E162" s="1" t="n">
        <v>46226</v>
      </c>
      <c r="F162" t="inlineStr">
        <is>
          <t>ÖSTERGÖTLANDS LÄN</t>
        </is>
      </c>
      <c r="G162" t="inlineStr">
        <is>
          <t>SÖDERKÖPING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45756</v>
      </c>
      <c r="E163" s="1" t="n">
        <v>46226</v>
      </c>
      <c r="F163" t="inlineStr">
        <is>
          <t>ÖSTERGÖTLANDS LÄN</t>
        </is>
      </c>
      <c r="G163" t="inlineStr">
        <is>
          <t>SÖDERKÖPING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44798</v>
      </c>
      <c r="E164" s="1" t="n">
        <v>46226</v>
      </c>
      <c r="F164" t="inlineStr">
        <is>
          <t>ÖSTERGÖTLANDS LÄN</t>
        </is>
      </c>
      <c r="G164" t="inlineStr">
        <is>
          <t>SÖDERKÖPING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45742</v>
      </c>
      <c r="E165" s="1" t="n">
        <v>46226</v>
      </c>
      <c r="F165" t="inlineStr">
        <is>
          <t>ÖSTERGÖTLANDS LÄN</t>
        </is>
      </c>
      <c r="G165" t="inlineStr">
        <is>
          <t>SÖDERKÖPING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45961</v>
      </c>
      <c r="E166" s="1" t="n">
        <v>46226</v>
      </c>
      <c r="F166" t="inlineStr">
        <is>
          <t>ÖSTERGÖTLANDS LÄN</t>
        </is>
      </c>
      <c r="G166" t="inlineStr">
        <is>
          <t>SÖDERKÖPING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34392-2025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45846</v>
      </c>
      <c r="E167" s="1" t="n">
        <v>46226</v>
      </c>
      <c r="F167" t="inlineStr">
        <is>
          <t>ÖSTERGÖTLANDS LÄN</t>
        </is>
      </c>
      <c r="G167" t="inlineStr">
        <is>
          <t>SÖDERKÖPING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46226</v>
      </c>
      <c r="F168" t="inlineStr">
        <is>
          <t>ÖSTERGÖTLANDS LÄN</t>
        </is>
      </c>
      <c r="G168" t="inlineStr">
        <is>
          <t>SÖDERKÖPING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21416-2025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45782</v>
      </c>
      <c r="E169" s="1" t="n">
        <v>46226</v>
      </c>
      <c r="F169" t="inlineStr">
        <is>
          <t>ÖSTERGÖTLANDS LÄN</t>
        </is>
      </c>
      <c r="G169" t="inlineStr">
        <is>
          <t>SÖDERKÖPING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34969-2025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45849</v>
      </c>
      <c r="E170" s="1" t="n">
        <v>46226</v>
      </c>
      <c r="F170" t="inlineStr">
        <is>
          <t>ÖSTERGÖTLANDS LÄN</t>
        </is>
      </c>
      <c r="G170" t="inlineStr">
        <is>
          <t>SÖDERKÖPING</t>
        </is>
      </c>
      <c r="I170" t="n">
        <v>9.300000000000001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45849</v>
      </c>
      <c r="E171" s="1" t="n">
        <v>46226</v>
      </c>
      <c r="F171" t="inlineStr">
        <is>
          <t>ÖSTERGÖTLANDS LÄN</t>
        </is>
      </c>
      <c r="G171" t="inlineStr">
        <is>
          <t>SÖDERKÖPING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46226</v>
      </c>
      <c r="F172" t="inlineStr">
        <is>
          <t>ÖSTERGÖTLANDS LÄN</t>
        </is>
      </c>
      <c r="G172" t="inlineStr">
        <is>
          <t>SÖDERKÖPING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45926</v>
      </c>
      <c r="E173" s="1" t="n">
        <v>46226</v>
      </c>
      <c r="F173" t="inlineStr">
        <is>
          <t>ÖSTERGÖTLANDS LÄN</t>
        </is>
      </c>
      <c r="G173" t="inlineStr">
        <is>
          <t>SÖDERKÖPING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46226</v>
      </c>
      <c r="F174" t="inlineStr">
        <is>
          <t>ÖSTERGÖTLANDS LÄN</t>
        </is>
      </c>
      <c r="G174" t="inlineStr">
        <is>
          <t>SÖDERKÖPING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47368-2021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44447</v>
      </c>
      <c r="E175" s="1" t="n">
        <v>46226</v>
      </c>
      <c r="F175" t="inlineStr">
        <is>
          <t>ÖSTERGÖTLANDS LÄN</t>
        </is>
      </c>
      <c r="G175" t="inlineStr">
        <is>
          <t>SÖDERKÖPING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46226</v>
      </c>
      <c r="F176" t="inlineStr">
        <is>
          <t>ÖSTERGÖTLANDS LÄN</t>
        </is>
      </c>
      <c r="G176" t="inlineStr">
        <is>
          <t>SÖDERKÖPING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46226</v>
      </c>
      <c r="F177" t="inlineStr">
        <is>
          <t>ÖSTERGÖTLANDS LÄN</t>
        </is>
      </c>
      <c r="G177" t="inlineStr">
        <is>
          <t>SÖDERKÖPING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57888-2022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46226</v>
      </c>
      <c r="F178" t="inlineStr">
        <is>
          <t>ÖSTERGÖTLANDS LÄN</t>
        </is>
      </c>
      <c r="G178" t="inlineStr">
        <is>
          <t>SÖDERKÖPING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46226</v>
      </c>
      <c r="F179" t="inlineStr">
        <is>
          <t>ÖSTERGÖTLANDS LÄN</t>
        </is>
      </c>
      <c r="G179" t="inlineStr">
        <is>
          <t>SÖDERKÖPING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40356-2023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46226</v>
      </c>
      <c r="F180" t="inlineStr">
        <is>
          <t>ÖSTERGÖTLANDS LÄN</t>
        </is>
      </c>
      <c r="G180" t="inlineStr">
        <is>
          <t>SÖDERKÖPING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45926</v>
      </c>
      <c r="E181" s="1" t="n">
        <v>46226</v>
      </c>
      <c r="F181" t="inlineStr">
        <is>
          <t>ÖSTERGÖTLANDS LÄN</t>
        </is>
      </c>
      <c r="G181" t="inlineStr">
        <is>
          <t>SÖDERKÖPING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20258-2026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46139</v>
      </c>
      <c r="E182" s="1" t="n">
        <v>46226</v>
      </c>
      <c r="F182" t="inlineStr">
        <is>
          <t>ÖSTERGÖTLANDS LÄN</t>
        </is>
      </c>
      <c r="G182" t="inlineStr">
        <is>
          <t>SÖDERKÖPING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44917</v>
      </c>
      <c r="E183" s="1" t="n">
        <v>46226</v>
      </c>
      <c r="F183" t="inlineStr">
        <is>
          <t>ÖSTERGÖTLANDS LÄN</t>
        </is>
      </c>
      <c r="G183" t="inlineStr">
        <is>
          <t>SÖDERKÖPING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20250-2026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46139</v>
      </c>
      <c r="E184" s="1" t="n">
        <v>46226</v>
      </c>
      <c r="F184" t="inlineStr">
        <is>
          <t>ÖSTERGÖTLANDS LÄN</t>
        </is>
      </c>
      <c r="G184" t="inlineStr">
        <is>
          <t>SÖDERKÖPING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46226</v>
      </c>
      <c r="F185" t="inlineStr">
        <is>
          <t>ÖSTERGÖTLANDS LÄN</t>
        </is>
      </c>
      <c r="G185" t="inlineStr">
        <is>
          <t>SÖDERKÖPING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20265-2026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46226</v>
      </c>
      <c r="F186" t="inlineStr">
        <is>
          <t>ÖSTERGÖTLANDS LÄN</t>
        </is>
      </c>
      <c r="G186" t="inlineStr">
        <is>
          <t>SÖDERKÖPING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45734</v>
      </c>
      <c r="E187" s="1" t="n">
        <v>46226</v>
      </c>
      <c r="F187" t="inlineStr">
        <is>
          <t>ÖSTERGÖTLANDS LÄN</t>
        </is>
      </c>
      <c r="G187" t="inlineStr">
        <is>
          <t>SÖDERKÖPING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46226</v>
      </c>
      <c r="F188" t="inlineStr">
        <is>
          <t>ÖSTERGÖTLANDS LÄN</t>
        </is>
      </c>
      <c r="G188" t="inlineStr">
        <is>
          <t>SÖDERKÖPING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45504</v>
      </c>
      <c r="E189" s="1" t="n">
        <v>46226</v>
      </c>
      <c r="F189" t="inlineStr">
        <is>
          <t>ÖSTERGÖTLANDS LÄN</t>
        </is>
      </c>
      <c r="G189" t="inlineStr">
        <is>
          <t>SÖDERKÖPING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20301-2026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46139</v>
      </c>
      <c r="E190" s="1" t="n">
        <v>46226</v>
      </c>
      <c r="F190" t="inlineStr">
        <is>
          <t>ÖSTERGÖTLANDS LÄN</t>
        </is>
      </c>
      <c r="G190" t="inlineStr">
        <is>
          <t>SÖDERKÖPING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50051-2023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45215</v>
      </c>
      <c r="E191" s="1" t="n">
        <v>46226</v>
      </c>
      <c r="F191" t="inlineStr">
        <is>
          <t>ÖSTERGÖTLANDS LÄN</t>
        </is>
      </c>
      <c r="G191" t="inlineStr">
        <is>
          <t>SÖDERKÖPING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49367-2023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46226</v>
      </c>
      <c r="F192" t="inlineStr">
        <is>
          <t>ÖSTERGÖTLANDS LÄN</t>
        </is>
      </c>
      <c r="G192" t="inlineStr">
        <is>
          <t>SÖDERKÖPING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49227-2022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44861</v>
      </c>
      <c r="E193" s="1" t="n">
        <v>46226</v>
      </c>
      <c r="F193" t="inlineStr">
        <is>
          <t>ÖSTERGÖTLANDS LÄN</t>
        </is>
      </c>
      <c r="G193" t="inlineStr">
        <is>
          <t>SÖDERKÖPING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46226</v>
      </c>
      <c r="F194" t="inlineStr">
        <is>
          <t>ÖSTERGÖTLANDS LÄN</t>
        </is>
      </c>
      <c r="G194" t="inlineStr">
        <is>
          <t>SÖDERKÖPING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46226</v>
      </c>
      <c r="F195" t="inlineStr">
        <is>
          <t>ÖSTERGÖTLANDS LÄN</t>
        </is>
      </c>
      <c r="G195" t="inlineStr">
        <is>
          <t>SÖDERKÖPING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46226</v>
      </c>
      <c r="F196" t="inlineStr">
        <is>
          <t>ÖSTERGÖTLANDS LÄN</t>
        </is>
      </c>
      <c r="G196" t="inlineStr">
        <is>
          <t>SÖDERKÖPING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44796</v>
      </c>
      <c r="E197" s="1" t="n">
        <v>46226</v>
      </c>
      <c r="F197" t="inlineStr">
        <is>
          <t>ÖSTERGÖTLANDS LÄN</t>
        </is>
      </c>
      <c r="G197" t="inlineStr">
        <is>
          <t>SÖDERKÖPING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45399</v>
      </c>
      <c r="E198" s="1" t="n">
        <v>46226</v>
      </c>
      <c r="F198" t="inlineStr">
        <is>
          <t>ÖSTERGÖTLANDS LÄN</t>
        </is>
      </c>
      <c r="G198" t="inlineStr">
        <is>
          <t>SÖDERKÖPING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45684</v>
      </c>
      <c r="E199" s="1" t="n">
        <v>46226</v>
      </c>
      <c r="F199" t="inlineStr">
        <is>
          <t>ÖSTERGÖTLANDS LÄN</t>
        </is>
      </c>
      <c r="G199" t="inlineStr">
        <is>
          <t>SÖDERKÖPING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45849</v>
      </c>
      <c r="E200" s="1" t="n">
        <v>46226</v>
      </c>
      <c r="F200" t="inlineStr">
        <is>
          <t>ÖSTERGÖTLANDS LÄN</t>
        </is>
      </c>
      <c r="G200" t="inlineStr">
        <is>
          <t>SÖDERKÖPING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69425-2021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46226</v>
      </c>
      <c r="F201" t="inlineStr">
        <is>
          <t>ÖSTERGÖTLANDS LÄN</t>
        </is>
      </c>
      <c r="G201" t="inlineStr">
        <is>
          <t>SÖDERKÖPING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20703-2026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46226</v>
      </c>
      <c r="F202" t="inlineStr">
        <is>
          <t>ÖSTERGÖTLANDS LÄN</t>
        </is>
      </c>
      <c r="G202" t="inlineStr">
        <is>
          <t>SÖDERKÖPING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46141</v>
      </c>
      <c r="E203" s="1" t="n">
        <v>46226</v>
      </c>
      <c r="F203" t="inlineStr">
        <is>
          <t>ÖSTERGÖTLANDS LÄN</t>
        </is>
      </c>
      <c r="G203" t="inlineStr">
        <is>
          <t>SÖDERKÖPING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46226</v>
      </c>
      <c r="F204" t="inlineStr">
        <is>
          <t>ÖSTERGÖTLANDS LÄN</t>
        </is>
      </c>
      <c r="G204" t="inlineStr">
        <is>
          <t>SÖDERKÖPING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46226</v>
      </c>
      <c r="F205" t="inlineStr">
        <is>
          <t>ÖSTERGÖTLANDS LÄN</t>
        </is>
      </c>
      <c r="G205" t="inlineStr">
        <is>
          <t>SÖDERKÖPING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46226</v>
      </c>
      <c r="F206" t="inlineStr">
        <is>
          <t>ÖSTERGÖTLANDS LÄN</t>
        </is>
      </c>
      <c r="G206" t="inlineStr">
        <is>
          <t>SÖDERKÖPING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46003</v>
      </c>
      <c r="E207" s="1" t="n">
        <v>46226</v>
      </c>
      <c r="F207" t="inlineStr">
        <is>
          <t>ÖSTERGÖTLANDS LÄN</t>
        </is>
      </c>
      <c r="G207" t="inlineStr">
        <is>
          <t>SÖDERKÖPING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46226</v>
      </c>
      <c r="F208" t="inlineStr">
        <is>
          <t>ÖSTERGÖTLANDS LÄN</t>
        </is>
      </c>
      <c r="G208" t="inlineStr">
        <is>
          <t>SÖDERKÖPING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45701</v>
      </c>
      <c r="E209" s="1" t="n">
        <v>46226</v>
      </c>
      <c r="F209" t="inlineStr">
        <is>
          <t>ÖSTERGÖTLANDS LÄN</t>
        </is>
      </c>
      <c r="G209" t="inlineStr">
        <is>
          <t>SÖDERKÖPING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45876</v>
      </c>
      <c r="E210" s="1" t="n">
        <v>46226</v>
      </c>
      <c r="F210" t="inlineStr">
        <is>
          <t>ÖSTERGÖTLANDS LÄN</t>
        </is>
      </c>
      <c r="G210" t="inlineStr">
        <is>
          <t>SÖDERKÖPING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62724-2025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46226</v>
      </c>
      <c r="F211" t="inlineStr">
        <is>
          <t>ÖSTERGÖTLANDS LÄN</t>
        </is>
      </c>
      <c r="G211" t="inlineStr">
        <is>
          <t>SÖDERKÖPING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45876</v>
      </c>
      <c r="E212" s="1" t="n">
        <v>46226</v>
      </c>
      <c r="F212" t="inlineStr">
        <is>
          <t>ÖSTERGÖTLANDS LÄN</t>
        </is>
      </c>
      <c r="G212" t="inlineStr">
        <is>
          <t>SÖDERKÖPING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44937</v>
      </c>
      <c r="E213" s="1" t="n">
        <v>46226</v>
      </c>
      <c r="F213" t="inlineStr">
        <is>
          <t>ÖSTERGÖTLANDS LÄN</t>
        </is>
      </c>
      <c r="G213" t="inlineStr">
        <is>
          <t>SÖDERKÖPING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46010</v>
      </c>
      <c r="E214" s="1" t="n">
        <v>46226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46226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Allmännings- och besparingsskogar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18794-2024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45426</v>
      </c>
      <c r="E216" s="1" t="n">
        <v>46226</v>
      </c>
      <c r="F216" t="inlineStr">
        <is>
          <t>ÖSTERGÖTLANDS LÄN</t>
        </is>
      </c>
      <c r="G216" t="inlineStr">
        <is>
          <t>SÖDERKÖPING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45884</v>
      </c>
      <c r="E217" s="1" t="n">
        <v>46226</v>
      </c>
      <c r="F217" t="inlineStr">
        <is>
          <t>ÖSTERGÖTLANDS LÄN</t>
        </is>
      </c>
      <c r="G217" t="inlineStr">
        <is>
          <t>SÖDERKÖPING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46226</v>
      </c>
      <c r="F218" t="inlineStr">
        <is>
          <t>ÖSTERGÖTLANDS LÄN</t>
        </is>
      </c>
      <c r="G218" t="inlineStr">
        <is>
          <t>SÖDERKÖPING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66362-2021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44518</v>
      </c>
      <c r="E219" s="1" t="n">
        <v>46226</v>
      </c>
      <c r="F219" t="inlineStr">
        <is>
          <t>ÖSTERGÖTLANDS LÄN</t>
        </is>
      </c>
      <c r="G219" t="inlineStr">
        <is>
          <t>SÖDERKÖPING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46226</v>
      </c>
      <c r="F220" t="inlineStr">
        <is>
          <t>ÖSTERGÖTLANDS LÄN</t>
        </is>
      </c>
      <c r="G220" t="inlineStr">
        <is>
          <t>SÖDERKÖPING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46150</v>
      </c>
      <c r="E221" s="1" t="n">
        <v>46226</v>
      </c>
      <c r="F221" t="inlineStr">
        <is>
          <t>ÖSTERGÖTLANDS LÄN</t>
        </is>
      </c>
      <c r="G221" t="inlineStr">
        <is>
          <t>SÖDERKÖPING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45546</v>
      </c>
      <c r="E222" s="1" t="n">
        <v>46226</v>
      </c>
      <c r="F222" t="inlineStr">
        <is>
          <t>ÖSTERGÖTLANDS LÄN</t>
        </is>
      </c>
      <c r="G222" t="inlineStr">
        <is>
          <t>SÖDERKÖPING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46226</v>
      </c>
      <c r="F223" t="inlineStr">
        <is>
          <t>ÖSTERGÖTLANDS LÄN</t>
        </is>
      </c>
      <c r="G223" t="inlineStr">
        <is>
          <t>SÖDERKÖPING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46226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Kommuner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29514-2023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46226</v>
      </c>
      <c r="F225" t="inlineStr">
        <is>
          <t>ÖSTERGÖTLANDS LÄN</t>
        </is>
      </c>
      <c r="G225" t="inlineStr">
        <is>
          <t>SÖDERKÖPING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45194</v>
      </c>
      <c r="E226" s="1" t="n">
        <v>46226</v>
      </c>
      <c r="F226" t="inlineStr">
        <is>
          <t>ÖSTERGÖTLANDS LÄN</t>
        </is>
      </c>
      <c r="G226" t="inlineStr">
        <is>
          <t>SÖDERKÖPING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46226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Kommuner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46226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Kyrkan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44862</v>
      </c>
      <c r="E229" s="1" t="n">
        <v>46226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46055</v>
      </c>
      <c r="E230" s="1" t="n">
        <v>46226</v>
      </c>
      <c r="F230" t="inlineStr">
        <is>
          <t>ÖSTERGÖTLANDS LÄN</t>
        </is>
      </c>
      <c r="G230" t="inlineStr">
        <is>
          <t>SÖDERKÖPING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44953</v>
      </c>
      <c r="E231" s="1" t="n">
        <v>46226</v>
      </c>
      <c r="F231" t="inlineStr">
        <is>
          <t>ÖSTERGÖTLANDS LÄN</t>
        </is>
      </c>
      <c r="G231" t="inlineStr">
        <is>
          <t>SÖDERKÖPING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46226</v>
      </c>
      <c r="F232" t="inlineStr">
        <is>
          <t>ÖSTERGÖTLANDS LÄN</t>
        </is>
      </c>
      <c r="G232" t="inlineStr">
        <is>
          <t>SÖDERKÖPING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46226</v>
      </c>
      <c r="F233" t="inlineStr">
        <is>
          <t>ÖSTERGÖTLANDS LÄN</t>
        </is>
      </c>
      <c r="G233" t="inlineStr">
        <is>
          <t>SÖDERKÖPING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46055</v>
      </c>
      <c r="E234" s="1" t="n">
        <v>46226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Kyrkan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46226</v>
      </c>
      <c r="F235" t="inlineStr">
        <is>
          <t>ÖSTERGÖTLANDS LÄN</t>
        </is>
      </c>
      <c r="G235" t="inlineStr">
        <is>
          <t>SÖDERKÖPING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44174-2023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45188</v>
      </c>
      <c r="E236" s="1" t="n">
        <v>46226</v>
      </c>
      <c r="F236" t="inlineStr">
        <is>
          <t>ÖSTERGÖTLANDS LÄN</t>
        </is>
      </c>
      <c r="G236" t="inlineStr">
        <is>
          <t>SÖDERKÖPING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45601</v>
      </c>
      <c r="E237" s="1" t="n">
        <v>46226</v>
      </c>
      <c r="F237" t="inlineStr">
        <is>
          <t>ÖSTERGÖTLANDS LÄN</t>
        </is>
      </c>
      <c r="G237" t="inlineStr">
        <is>
          <t>SÖDERKÖPING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46161</v>
      </c>
      <c r="E238" s="1" t="n">
        <v>46226</v>
      </c>
      <c r="F238" t="inlineStr">
        <is>
          <t>ÖSTERGÖTLANDS LÄN</t>
        </is>
      </c>
      <c r="G238" t="inlineStr">
        <is>
          <t>SÖDERKÖPING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57255-2024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45629</v>
      </c>
      <c r="E239" s="1" t="n">
        <v>46226</v>
      </c>
      <c r="F239" t="inlineStr">
        <is>
          <t>ÖSTERGÖTLANDS LÄN</t>
        </is>
      </c>
      <c r="G239" t="inlineStr">
        <is>
          <t>SÖDERKÖPING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58223-2022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44901</v>
      </c>
      <c r="E240" s="1" t="n">
        <v>46226</v>
      </c>
      <c r="F240" t="inlineStr">
        <is>
          <t>ÖSTERGÖTLANDS LÄN</t>
        </is>
      </c>
      <c r="G240" t="inlineStr">
        <is>
          <t>SÖDERKÖPING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45667</v>
      </c>
      <c r="E241" s="1" t="n">
        <v>46226</v>
      </c>
      <c r="F241" t="inlineStr">
        <is>
          <t>ÖSTERGÖTLANDS LÄN</t>
        </is>
      </c>
      <c r="G241" t="inlineStr">
        <is>
          <t>SÖDERKÖPING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23518-2026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46226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Allmännings- och besparingsskogar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46226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Allmännings- och besparingsskogar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46226</v>
      </c>
      <c r="F244" t="inlineStr">
        <is>
          <t>ÖSTERGÖTLANDS LÄN</t>
        </is>
      </c>
      <c r="G244" t="inlineStr">
        <is>
          <t>SÖDERKÖPING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46226</v>
      </c>
      <c r="F245" t="inlineStr">
        <is>
          <t>ÖSTERGÖTLANDS LÄN</t>
        </is>
      </c>
      <c r="G245" t="inlineStr">
        <is>
          <t>SÖDERKÖPING</t>
        </is>
      </c>
      <c r="I245" t="n">
        <v>18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46164</v>
      </c>
      <c r="E246" s="1" t="n">
        <v>46226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44928</v>
      </c>
      <c r="E247" s="1" t="n">
        <v>46226</v>
      </c>
      <c r="F247" t="inlineStr">
        <is>
          <t>ÖSTERGÖTLANDS LÄN</t>
        </is>
      </c>
      <c r="G247" t="inlineStr">
        <is>
          <t>SÖDERKÖPING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44805</v>
      </c>
      <c r="E248" s="1" t="n">
        <v>46226</v>
      </c>
      <c r="F248" t="inlineStr">
        <is>
          <t>ÖSTERGÖTLANDS LÄN</t>
        </is>
      </c>
      <c r="G248" t="inlineStr">
        <is>
          <t>SÖDERKÖPING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45257</v>
      </c>
      <c r="E249" s="1" t="n">
        <v>46226</v>
      </c>
      <c r="F249" t="inlineStr">
        <is>
          <t>ÖSTERGÖTLANDS LÄN</t>
        </is>
      </c>
      <c r="G249" t="inlineStr">
        <is>
          <t>SÖDERKÖPING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33735-2023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45119</v>
      </c>
      <c r="E250" s="1" t="n">
        <v>46226</v>
      </c>
      <c r="F250" t="inlineStr">
        <is>
          <t>ÖSTERGÖTLANDS LÄN</t>
        </is>
      </c>
      <c r="G250" t="inlineStr">
        <is>
          <t>SÖDERKÖPING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46226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46171</v>
      </c>
      <c r="E252" s="1" t="n">
        <v>46226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46226</v>
      </c>
      <c r="F253" t="inlineStr">
        <is>
          <t>ÖSTERGÖTLANDS LÄN</t>
        </is>
      </c>
      <c r="G253" t="inlineStr">
        <is>
          <t>SÖDERKÖPING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46226</v>
      </c>
      <c r="F254" t="inlineStr">
        <is>
          <t>ÖSTERGÖTLANDS LÄN</t>
        </is>
      </c>
      <c r="G254" t="inlineStr">
        <is>
          <t>SÖDERKÖPING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46226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44834-2023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45190</v>
      </c>
      <c r="E256" s="1" t="n">
        <v>46226</v>
      </c>
      <c r="F256" t="inlineStr">
        <is>
          <t>ÖSTERGÖTLANDS LÄN</t>
        </is>
      </c>
      <c r="G256" t="inlineStr">
        <is>
          <t>SÖDERKÖPING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46219</v>
      </c>
      <c r="E257" s="1" t="n">
        <v>46226</v>
      </c>
      <c r="F257" t="inlineStr">
        <is>
          <t>ÖSTERGÖTLANDS LÄN</t>
        </is>
      </c>
      <c r="G257" t="inlineStr">
        <is>
          <t>SÖDERKÖPING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46219</v>
      </c>
      <c r="E258" s="1" t="n">
        <v>46226</v>
      </c>
      <c r="F258" t="inlineStr">
        <is>
          <t>ÖSTERGÖTLANDS LÄN</t>
        </is>
      </c>
      <c r="G258" t="inlineStr">
        <is>
          <t>SÖDERKÖPING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44956</v>
      </c>
      <c r="E259" s="1" t="n">
        <v>46226</v>
      </c>
      <c r="F259" t="inlineStr">
        <is>
          <t>ÖSTERGÖTLANDS LÄN</t>
        </is>
      </c>
      <c r="G259" t="inlineStr">
        <is>
          <t>SÖDERKÖPING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60640-2022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44911</v>
      </c>
      <c r="E260" s="1" t="n">
        <v>46226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Allmännings- och besparingsskogar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64825-2023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45282</v>
      </c>
      <c r="E261" s="1" t="n">
        <v>46226</v>
      </c>
      <c r="F261" t="inlineStr">
        <is>
          <t>ÖSTERGÖTLANDS LÄN</t>
        </is>
      </c>
      <c r="G261" t="inlineStr">
        <is>
          <t>SÖDERKÖPING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46226</v>
      </c>
      <c r="F262" t="inlineStr">
        <is>
          <t>ÖSTERGÖTLANDS LÄN</t>
        </is>
      </c>
      <c r="G262" t="inlineStr">
        <is>
          <t>SÖDERKÖPING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66075-2021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44517</v>
      </c>
      <c r="E263" s="1" t="n">
        <v>46226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Kyrkan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6535-2023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46226</v>
      </c>
      <c r="F264" t="inlineStr">
        <is>
          <t>ÖSTERGÖTLANDS LÄN</t>
        </is>
      </c>
      <c r="G264" t="inlineStr">
        <is>
          <t>SÖDERKÖPING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46226</v>
      </c>
      <c r="F265" t="inlineStr">
        <is>
          <t>ÖSTERGÖTLANDS LÄN</t>
        </is>
      </c>
      <c r="G265" t="inlineStr">
        <is>
          <t>SÖDERKÖPING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46226</v>
      </c>
      <c r="F266" t="inlineStr">
        <is>
          <t>ÖSTERGÖTLANDS LÄN</t>
        </is>
      </c>
      <c r="G266" t="inlineStr">
        <is>
          <t>SÖDERKÖPING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46226</v>
      </c>
      <c r="F267" t="inlineStr">
        <is>
          <t>ÖSTERGÖTLANDS LÄN</t>
        </is>
      </c>
      <c r="G267" t="inlineStr">
        <is>
          <t>SÖDERKÖPING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46226</v>
      </c>
      <c r="F268" t="inlineStr">
        <is>
          <t>ÖSTERGÖTLANDS LÄN</t>
        </is>
      </c>
      <c r="G268" t="inlineStr">
        <is>
          <t>SÖDERKÖPING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26573-2026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46226</v>
      </c>
      <c r="F269" t="inlineStr">
        <is>
          <t>ÖSTERGÖTLANDS LÄN</t>
        </is>
      </c>
      <c r="G269" t="inlineStr">
        <is>
          <t>SÖDERKÖPING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46226</v>
      </c>
      <c r="F270" t="inlineStr">
        <is>
          <t>ÖSTERGÖTLANDS LÄN</t>
        </is>
      </c>
      <c r="G270" t="inlineStr">
        <is>
          <t>SÖDERKÖPING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44978</v>
      </c>
      <c r="E271" s="1" t="n">
        <v>46226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Allmännings- och besparingsskogar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26439-2026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46183</v>
      </c>
      <c r="E272" s="1" t="n">
        <v>46226</v>
      </c>
      <c r="F272" t="inlineStr">
        <is>
          <t>ÖSTERGÖTLANDS LÄN</t>
        </is>
      </c>
      <c r="G272" t="inlineStr">
        <is>
          <t>SÖDERKÖPING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46226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Allmännings- och besparingsskogar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50050-2023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45215</v>
      </c>
      <c r="E274" s="1" t="n">
        <v>46226</v>
      </c>
      <c r="F274" t="inlineStr">
        <is>
          <t>ÖSTERGÖTLANDS LÄN</t>
        </is>
      </c>
      <c r="G274" t="inlineStr">
        <is>
          <t>SÖDERKÖPING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46226</v>
      </c>
      <c r="F275" t="inlineStr">
        <is>
          <t>ÖSTERGÖTLANDS LÄN</t>
        </is>
      </c>
      <c r="G275" t="inlineStr">
        <is>
          <t>SÖDERKÖPING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45684</v>
      </c>
      <c r="E276" s="1" t="n">
        <v>46226</v>
      </c>
      <c r="F276" t="inlineStr">
        <is>
          <t>ÖSTERGÖTLANDS LÄN</t>
        </is>
      </c>
      <c r="G276" t="inlineStr">
        <is>
          <t>SÖDERKÖPING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45344</v>
      </c>
      <c r="E277" s="1" t="n">
        <v>46226</v>
      </c>
      <c r="F277" t="inlineStr">
        <is>
          <t>ÖSTERGÖTLANDS LÄN</t>
        </is>
      </c>
      <c r="G277" t="inlineStr">
        <is>
          <t>SÖDERKÖPING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45058</v>
      </c>
      <c r="E278" s="1" t="n">
        <v>46226</v>
      </c>
      <c r="F278" t="inlineStr">
        <is>
          <t>ÖSTERGÖTLANDS LÄN</t>
        </is>
      </c>
      <c r="G278" t="inlineStr">
        <is>
          <t>SÖDERKÖPING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44956</v>
      </c>
      <c r="E279" s="1" t="n">
        <v>46226</v>
      </c>
      <c r="F279" t="inlineStr">
        <is>
          <t>ÖSTERGÖTLANDS LÄN</t>
        </is>
      </c>
      <c r="G279" t="inlineStr">
        <is>
          <t>SÖDERKÖPING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46226</v>
      </c>
      <c r="F280" t="inlineStr">
        <is>
          <t>ÖSTERGÖTLANDS LÄN</t>
        </is>
      </c>
      <c r="G280" t="inlineStr">
        <is>
          <t>SÖDERKÖPING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46226</v>
      </c>
      <c r="F281" t="inlineStr">
        <is>
          <t>ÖSTERGÖTLANDS LÄN</t>
        </is>
      </c>
      <c r="G281" t="inlineStr">
        <is>
          <t>SÖDERKÖPING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9746-2022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44618</v>
      </c>
      <c r="E282" s="1" t="n">
        <v>46226</v>
      </c>
      <c r="F282" t="inlineStr">
        <is>
          <t>ÖSTERGÖTLANDS LÄN</t>
        </is>
      </c>
      <c r="G282" t="inlineStr">
        <is>
          <t>SÖDERKÖPING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45293</v>
      </c>
      <c r="E283" s="1" t="n">
        <v>46226</v>
      </c>
      <c r="F283" t="inlineStr">
        <is>
          <t>ÖSTERGÖTLANDS LÄN</t>
        </is>
      </c>
      <c r="G283" t="inlineStr">
        <is>
          <t>SÖDERKÖPING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46226</v>
      </c>
      <c r="F284" t="inlineStr">
        <is>
          <t>ÖSTERGÖTLANDS LÄN</t>
        </is>
      </c>
      <c r="G284" t="inlineStr">
        <is>
          <t>SÖDERKÖPING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53889-2021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44469</v>
      </c>
      <c r="E285" s="1" t="n">
        <v>46226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45208</v>
      </c>
      <c r="E286" s="1" t="n">
        <v>46226</v>
      </c>
      <c r="F286" t="inlineStr">
        <is>
          <t>ÖSTERGÖTLANDS LÄN</t>
        </is>
      </c>
      <c r="G286" t="inlineStr">
        <is>
          <t>SÖDERKÖPING</t>
        </is>
      </c>
      <c r="H286" t="inlineStr">
        <is>
          <t>Holmen skog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46226</v>
      </c>
      <c r="F287" t="inlineStr">
        <is>
          <t>ÖSTERGÖTLANDS LÄN</t>
        </is>
      </c>
      <c r="G287" t="inlineStr">
        <is>
          <t>SÖDERKÖPING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44951</v>
      </c>
      <c r="E288" s="1" t="n">
        <v>46226</v>
      </c>
      <c r="F288" t="inlineStr">
        <is>
          <t>ÖSTERGÖTLANDS LÄN</t>
        </is>
      </c>
      <c r="G288" t="inlineStr">
        <is>
          <t>SÖDERKÖPING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46226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46226</v>
      </c>
      <c r="F290" t="inlineStr">
        <is>
          <t>ÖSTERGÖTLANDS LÄN</t>
        </is>
      </c>
      <c r="G290" t="inlineStr">
        <is>
          <t>SÖDERKÖPING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45295</v>
      </c>
      <c r="E291" s="1" t="n">
        <v>46226</v>
      </c>
      <c r="F291" t="inlineStr">
        <is>
          <t>ÖSTERGÖTLANDS LÄN</t>
        </is>
      </c>
      <c r="G291" t="inlineStr">
        <is>
          <t>SÖDERKÖPING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46226</v>
      </c>
      <c r="F292" t="inlineStr">
        <is>
          <t>ÖSTERGÖTLANDS LÄN</t>
        </is>
      </c>
      <c r="G292" t="inlineStr">
        <is>
          <t>SÖDERKÖPING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45061</v>
      </c>
      <c r="E293" s="1" t="n">
        <v>46226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50588-2024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45601</v>
      </c>
      <c r="E294" s="1" t="n">
        <v>46226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Allmännings- och besparingsskogar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45684</v>
      </c>
      <c r="E295" s="1" t="n">
        <v>46226</v>
      </c>
      <c r="F295" t="inlineStr">
        <is>
          <t>ÖSTERGÖTLANDS LÄN</t>
        </is>
      </c>
      <c r="G295" t="inlineStr">
        <is>
          <t>SÖDERKÖPING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46226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Kyrkan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46226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46226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46226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46226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46226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46226</v>
      </c>
      <c r="F302" t="inlineStr">
        <is>
          <t>ÖSTERGÖTLANDS LÄN</t>
        </is>
      </c>
      <c r="G302" t="inlineStr">
        <is>
          <t>SÖDERKÖPING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46226</v>
      </c>
      <c r="F303" t="inlineStr">
        <is>
          <t>ÖSTERGÖTLANDS LÄN</t>
        </is>
      </c>
      <c r="G303" t="inlineStr">
        <is>
          <t>SÖDERKÖPING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45692</v>
      </c>
      <c r="E304" s="1" t="n">
        <v>46226</v>
      </c>
      <c r="F304" t="inlineStr">
        <is>
          <t>ÖSTERGÖTLANDS LÄN</t>
        </is>
      </c>
      <c r="G304" t="inlineStr">
        <is>
          <t>SÖDERKÖPING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46226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45181</v>
      </c>
      <c r="E306" s="1" t="n">
        <v>46226</v>
      </c>
      <c r="F306" t="inlineStr">
        <is>
          <t>ÖSTERGÖTLANDS LÄN</t>
        </is>
      </c>
      <c r="G306" t="inlineStr">
        <is>
          <t>SÖDERKÖPING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45586</v>
      </c>
      <c r="E307" s="1" t="n">
        <v>46226</v>
      </c>
      <c r="F307" t="inlineStr">
        <is>
          <t>ÖSTERGÖTLANDS LÄN</t>
        </is>
      </c>
      <c r="G307" t="inlineStr">
        <is>
          <t>SÖDERKÖPING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44994</v>
      </c>
      <c r="E308" s="1" t="n">
        <v>46226</v>
      </c>
      <c r="F308" t="inlineStr">
        <is>
          <t>ÖSTERGÖTLANDS LÄN</t>
        </is>
      </c>
      <c r="G308" t="inlineStr">
        <is>
          <t>SÖDERKÖPING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44965</v>
      </c>
      <c r="E309" s="1" t="n">
        <v>46226</v>
      </c>
      <c r="F309" t="inlineStr">
        <is>
          <t>ÖSTERGÖTLANDS LÄN</t>
        </is>
      </c>
      <c r="G309" t="inlineStr">
        <is>
          <t>SÖDERKÖPING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46226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45174</v>
      </c>
      <c r="E311" s="1" t="n">
        <v>46226</v>
      </c>
      <c r="F311" t="inlineStr">
        <is>
          <t>ÖSTERGÖTLANDS LÄN</t>
        </is>
      </c>
      <c r="G311" t="inlineStr">
        <is>
          <t>SÖDERKÖPING</t>
        </is>
      </c>
      <c r="I311" t="n">
        <v>15.3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44572</v>
      </c>
      <c r="E312" s="1" t="n">
        <v>46226</v>
      </c>
      <c r="F312" t="inlineStr">
        <is>
          <t>ÖSTERGÖTLANDS LÄN</t>
        </is>
      </c>
      <c r="G312" t="inlineStr">
        <is>
          <t>SÖDERKÖPING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44593</v>
      </c>
      <c r="E313" s="1" t="n">
        <v>46226</v>
      </c>
      <c r="F313" t="inlineStr">
        <is>
          <t>ÖSTERGÖTLANDS LÄN</t>
        </is>
      </c>
      <c r="G313" t="inlineStr">
        <is>
          <t>SÖDERKÖPING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46226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29374-2022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44753</v>
      </c>
      <c r="E315" s="1" t="n">
        <v>46226</v>
      </c>
      <c r="F315" t="inlineStr">
        <is>
          <t>ÖSTERGÖTLANDS LÄN</t>
        </is>
      </c>
      <c r="G315" t="inlineStr">
        <is>
          <t>SÖDERKÖPING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45595</v>
      </c>
      <c r="E316" s="1" t="n">
        <v>46226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41245-2023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45174</v>
      </c>
      <c r="E317" s="1" t="n">
        <v>46226</v>
      </c>
      <c r="F317" t="inlineStr">
        <is>
          <t>ÖSTERGÖTLANDS LÄN</t>
        </is>
      </c>
      <c r="G317" t="inlineStr">
        <is>
          <t>SÖDERKÖPING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459-2024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45297</v>
      </c>
      <c r="E318" s="1" t="n">
        <v>46226</v>
      </c>
      <c r="F318" t="inlineStr">
        <is>
          <t>ÖSTERGÖTLANDS LÄN</t>
        </is>
      </c>
      <c r="G318" t="inlineStr">
        <is>
          <t>SÖDERKÖPING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46226</v>
      </c>
      <c r="F319" t="inlineStr">
        <is>
          <t>ÖSTERGÖTLANDS LÄN</t>
        </is>
      </c>
      <c r="G319" t="inlineStr">
        <is>
          <t>SÖDERKÖPING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45097</v>
      </c>
      <c r="E320" s="1" t="n">
        <v>46226</v>
      </c>
      <c r="F320" t="inlineStr">
        <is>
          <t>ÖSTERGÖTLANDS LÄN</t>
        </is>
      </c>
      <c r="G320" t="inlineStr">
        <is>
          <t>SÖDERKÖPING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44888</v>
      </c>
      <c r="E321" s="1" t="n">
        <v>46226</v>
      </c>
      <c r="F321" t="inlineStr">
        <is>
          <t>ÖSTERGÖTLANDS LÄN</t>
        </is>
      </c>
      <c r="G321" t="inlineStr">
        <is>
          <t>SÖDERKÖPING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46226</v>
      </c>
      <c r="F322" t="inlineStr">
        <is>
          <t>ÖSTERGÖTLANDS LÄN</t>
        </is>
      </c>
      <c r="G322" t="inlineStr">
        <is>
          <t>SÖDERKÖPING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45180</v>
      </c>
      <c r="E323" s="1" t="n">
        <v>46226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Allmännings- och besparingsskogar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45687</v>
      </c>
      <c r="E324" s="1" t="n">
        <v>46226</v>
      </c>
      <c r="F324" t="inlineStr">
        <is>
          <t>ÖSTERGÖTLANDS LÄN</t>
        </is>
      </c>
      <c r="G324" t="inlineStr">
        <is>
          <t>SÖDERKÖPING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45707</v>
      </c>
      <c r="E325" s="1" t="n">
        <v>46226</v>
      </c>
      <c r="F325" t="inlineStr">
        <is>
          <t>ÖSTERGÖTLANDS LÄN</t>
        </is>
      </c>
      <c r="G325" t="inlineStr">
        <is>
          <t>SÖDERKÖPING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46226</v>
      </c>
      <c r="F326" t="inlineStr">
        <is>
          <t>ÖSTERGÖTLANDS LÄN</t>
        </is>
      </c>
      <c r="G326" t="inlineStr">
        <is>
          <t>SÖDERKÖPING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45055</v>
      </c>
      <c r="E327" s="1" t="n">
        <v>46226</v>
      </c>
      <c r="F327" t="inlineStr">
        <is>
          <t>ÖSTERGÖTLANDS LÄN</t>
        </is>
      </c>
      <c r="G327" t="inlineStr">
        <is>
          <t>SÖDERKÖPING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45297</v>
      </c>
      <c r="E328" s="1" t="n">
        <v>46226</v>
      </c>
      <c r="F328" t="inlineStr">
        <is>
          <t>ÖSTERGÖTLANDS LÄN</t>
        </is>
      </c>
      <c r="G328" t="inlineStr">
        <is>
          <t>SÖDERKÖPING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45447</v>
      </c>
      <c r="E329" s="1" t="n">
        <v>46226</v>
      </c>
      <c r="F329" t="inlineStr">
        <is>
          <t>ÖSTERGÖTLANDS LÄN</t>
        </is>
      </c>
      <c r="G329" t="inlineStr">
        <is>
          <t>SÖDERKÖPING</t>
        </is>
      </c>
      <c r="H329" t="inlineStr">
        <is>
          <t>Kommuner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46226</v>
      </c>
      <c r="F330" t="inlineStr">
        <is>
          <t>ÖSTERGÖTLANDS LÄN</t>
        </is>
      </c>
      <c r="G330" t="inlineStr">
        <is>
          <t>SÖDERKÖPING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46226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Holmen skog AB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13920-2025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45737</v>
      </c>
      <c r="E332" s="1" t="n">
        <v>46226</v>
      </c>
      <c r="F332" t="inlineStr">
        <is>
          <t>ÖSTERGÖTLANDS LÄN</t>
        </is>
      </c>
      <c r="G332" t="inlineStr">
        <is>
          <t>SÖDERKÖPING</t>
        </is>
      </c>
      <c r="H332" t="inlineStr">
        <is>
          <t>Holmen skog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45700</v>
      </c>
      <c r="E333" s="1" t="n">
        <v>46226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9729-2023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44984</v>
      </c>
      <c r="E334" s="1" t="n">
        <v>46226</v>
      </c>
      <c r="F334" t="inlineStr">
        <is>
          <t>ÖSTERGÖTLANDS LÄN</t>
        </is>
      </c>
      <c r="G334" t="inlineStr">
        <is>
          <t>SÖDERKÖPING</t>
        </is>
      </c>
      <c r="I334" t="n">
        <v>13.8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46226</v>
      </c>
      <c r="F335" t="inlineStr">
        <is>
          <t>ÖSTERGÖTLANDS LÄN</t>
        </is>
      </c>
      <c r="G335" t="inlineStr">
        <is>
          <t>SÖDERKÖPING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46226</v>
      </c>
      <c r="F336" t="inlineStr">
        <is>
          <t>ÖSTERGÖTLANDS LÄN</t>
        </is>
      </c>
      <c r="G336" t="inlineStr">
        <is>
          <t>SÖDERKÖPING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31312-2024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45504</v>
      </c>
      <c r="E337" s="1" t="n">
        <v>46226</v>
      </c>
      <c r="F337" t="inlineStr">
        <is>
          <t>ÖSTERGÖTLANDS LÄN</t>
        </is>
      </c>
      <c r="G337" t="inlineStr">
        <is>
          <t>SÖDERKÖPING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20310-2024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45435</v>
      </c>
      <c r="E338" s="1" t="n">
        <v>46226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45601</v>
      </c>
      <c r="E339" s="1" t="n">
        <v>46226</v>
      </c>
      <c r="F339" t="inlineStr">
        <is>
          <t>ÖSTERGÖTLANDS LÄN</t>
        </is>
      </c>
      <c r="G339" t="inlineStr">
        <is>
          <t>SÖDERKÖPING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46226</v>
      </c>
      <c r="F340" t="inlineStr">
        <is>
          <t>ÖSTERGÖTLANDS LÄN</t>
        </is>
      </c>
      <c r="G340" t="inlineStr">
        <is>
          <t>SÖDERKÖPING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45504</v>
      </c>
      <c r="E341" s="1" t="n">
        <v>46226</v>
      </c>
      <c r="F341" t="inlineStr">
        <is>
          <t>ÖSTERGÖTLANDS LÄN</t>
        </is>
      </c>
      <c r="G341" t="inlineStr">
        <is>
          <t>SÖDERKÖPING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45504</v>
      </c>
      <c r="E342" s="1" t="n">
        <v>46226</v>
      </c>
      <c r="F342" t="inlineStr">
        <is>
          <t>ÖSTERGÖTLANDS LÄN</t>
        </is>
      </c>
      <c r="G342" t="inlineStr">
        <is>
          <t>SÖDERKÖPING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45184</v>
      </c>
      <c r="E343" s="1" t="n">
        <v>46226</v>
      </c>
      <c r="F343" t="inlineStr">
        <is>
          <t>ÖSTERGÖTLANDS LÄN</t>
        </is>
      </c>
      <c r="G343" t="inlineStr">
        <is>
          <t>SÖDERKÖPING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22918-2025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46226</v>
      </c>
      <c r="F344" t="inlineStr">
        <is>
          <t>ÖSTERGÖTLANDS LÄN</t>
        </is>
      </c>
      <c r="G344" t="inlineStr">
        <is>
          <t>SÖDERKÖPING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45792</v>
      </c>
      <c r="E345" s="1" t="n">
        <v>46226</v>
      </c>
      <c r="F345" t="inlineStr">
        <is>
          <t>ÖSTERGÖTLANDS LÄN</t>
        </is>
      </c>
      <c r="G345" t="inlineStr">
        <is>
          <t>SÖDERKÖPING</t>
        </is>
      </c>
      <c r="I345" t="n">
        <v>12.2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46226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45797</v>
      </c>
      <c r="E347" s="1" t="n">
        <v>46226</v>
      </c>
      <c r="F347" t="inlineStr">
        <is>
          <t>ÖSTERGÖTLANDS LÄN</t>
        </is>
      </c>
      <c r="G347" t="inlineStr">
        <is>
          <t>SÖDERKÖPING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24344-2025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45797</v>
      </c>
      <c r="E348" s="1" t="n">
        <v>46226</v>
      </c>
      <c r="F348" t="inlineStr">
        <is>
          <t>ÖSTERGÖTLANDS LÄN</t>
        </is>
      </c>
      <c r="G348" t="inlineStr">
        <is>
          <t>SÖDERKÖPING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45685</v>
      </c>
      <c r="E349" s="1" t="n">
        <v>46226</v>
      </c>
      <c r="F349" t="inlineStr">
        <is>
          <t>ÖSTERGÖTLANDS LÄN</t>
        </is>
      </c>
      <c r="G349" t="inlineStr">
        <is>
          <t>SÖDERKÖPING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45692</v>
      </c>
      <c r="E350" s="1" t="n">
        <v>46226</v>
      </c>
      <c r="F350" t="inlineStr">
        <is>
          <t>ÖSTERGÖTLANDS LÄN</t>
        </is>
      </c>
      <c r="G350" t="inlineStr">
        <is>
          <t>SÖDERKÖPING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44939</v>
      </c>
      <c r="E351" s="1" t="n">
        <v>46226</v>
      </c>
      <c r="F351" t="inlineStr">
        <is>
          <t>ÖSTERGÖTLANDS LÄN</t>
        </is>
      </c>
      <c r="G351" t="inlineStr">
        <is>
          <t>SÖDERKÖPING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46226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46226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46226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46226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46226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46226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2026-07-23T01:45:27Z</dcterms:created>
  <dcterms:modified xmlns:dcterms="http://purl.org/dc/terms/" xmlns:xsi="http://www.w3.org/2001/XMLSchema-instance" xsi:type="dcterms:W3CDTF">2026-07-23T01:45:27Z</dcterms:modified>
</cp:coreProperties>
</file>