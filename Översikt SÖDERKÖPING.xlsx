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46221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s="2" t="inlineStr">
        <is>
          <t>Ekpricklav
Knärot
Dropptaggsvamp
Ekticka
Tallticka
Talltita
Vedskivlav
Fällmossa
Granbarkgnagare
Grovticka
Grönpyrola
Mindre märgborre
Platt fjädermossa
Blåsippa</t>
        </is>
      </c>
      <c r="V2">
        <f>HYPERLINK("https://klasma.github.io/Logging_0582/artfynd/A 50388-2022 artfynd.xlsx", "A 50388-2022")</f>
        <v/>
      </c>
      <c r="W2">
        <f>HYPERLINK("https://klasma.github.io/Logging_0582/kartor/A 50388-2022 karta.png", "A 50388-2022")</f>
        <v/>
      </c>
      <c r="X2">
        <f>HYPERLINK("https://klasma.github.io/Logging_0582/knärot/A 50388-2022 karta knärot.png", "A 50388-2022")</f>
        <v/>
      </c>
      <c r="Y2">
        <f>HYPERLINK("https://klasma.github.io/Logging_0582/klagomål/A 50388-2022 FSC-klagomål.docx", "A 50388-2022")</f>
        <v/>
      </c>
      <c r="Z2">
        <f>HYPERLINK("https://klasma.github.io/Logging_0582/klagomålsmail/A 50388-2022 FSC-klagomål mail.docx", "A 50388-2022")</f>
        <v/>
      </c>
      <c r="AA2">
        <f>HYPERLINK("https://klasma.github.io/Logging_0582/tillsyn/A 50388-2022 tillsynsbegäran.docx", "A 50388-2022")</f>
        <v/>
      </c>
      <c r="AB2">
        <f>HYPERLINK("https://klasma.github.io/Logging_0582/tillsynsmail/A 50388-2022 tillsynsbegäran mail.docx", "A 50388-2022")</f>
        <v/>
      </c>
      <c r="AC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46221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s="2" t="inlineStr">
        <is>
          <t>Kattfotslav
Rosa skärelav
Tallticka
Vedskivlav
Bronshjon
Granbarkgnagare
Grönpyrola
Kornig nållav
Kornknutmossa
Stubbspretmossa
Blåsippa</t>
        </is>
      </c>
      <c r="V3">
        <f>HYPERLINK("https://klasma.github.io/Logging_0582/artfynd/A 50386-2022 artfynd.xlsx", "A 50386-2022")</f>
        <v/>
      </c>
      <c r="W3">
        <f>HYPERLINK("https://klasma.github.io/Logging_0582/kartor/A 50386-2022 karta.png", "A 50386-2022")</f>
        <v/>
      </c>
      <c r="Y3">
        <f>HYPERLINK("https://klasma.github.io/Logging_0582/klagomål/A 50386-2022 FSC-klagomål.docx", "A 50386-2022")</f>
        <v/>
      </c>
      <c r="Z3">
        <f>HYPERLINK("https://klasma.github.io/Logging_0582/klagomålsmail/A 50386-2022 FSC-klagomål mail.docx", "A 50386-2022")</f>
        <v/>
      </c>
      <c r="AA3">
        <f>HYPERLINK("https://klasma.github.io/Logging_0582/tillsyn/A 50386-2022 tillsynsbegäran.docx", "A 50386-2022")</f>
        <v/>
      </c>
      <c r="AB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46221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s="2" t="inlineStr">
        <is>
          <t>Gul taggsvamp
Knärot
Dropptaggsvamp
Dvärgbägarlav
Motaggsvamp
Vedskivlav
Blåmossa
Bronshjon
Grovticka
Grönpyrola
Tjäder</t>
        </is>
      </c>
      <c r="V4">
        <f>HYPERLINK("https://klasma.github.io/Logging_0582/artfynd/A 23127-2026 artfynd.xlsx", "A 23127-2026")</f>
        <v/>
      </c>
      <c r="W4">
        <f>HYPERLINK("https://klasma.github.io/Logging_0582/kartor/A 23127-2026 karta.png", "A 23127-2026")</f>
        <v/>
      </c>
      <c r="X4">
        <f>HYPERLINK("https://klasma.github.io/Logging_0582/knärot/A 23127-2026 karta knärot.png", "A 23127-2026")</f>
        <v/>
      </c>
      <c r="Y4">
        <f>HYPERLINK("https://klasma.github.io/Logging_0582/klagomål/A 23127-2026 FSC-klagomål.docx", "A 23127-2026")</f>
        <v/>
      </c>
      <c r="Z4">
        <f>HYPERLINK("https://klasma.github.io/Logging_0582/klagomålsmail/A 23127-2026 FSC-klagomål mail.docx", "A 23127-2026")</f>
        <v/>
      </c>
      <c r="AA4">
        <f>HYPERLINK("https://klasma.github.io/Logging_0582/tillsyn/A 23127-2026 tillsynsbegäran.docx", "A 23127-2026")</f>
        <v/>
      </c>
      <c r="AB4">
        <f>HYPERLINK("https://klasma.github.io/Logging_0582/tillsynsmail/A 23127-2026 tillsynsbegäran mail.docx", "A 23127-2026")</f>
        <v/>
      </c>
      <c r="AC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46221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s="2" t="inlineStr">
        <is>
          <t>Knärot
Dropptaggsvamp
Dvärgbägarlav
Motaggsvamp
Vedskivlav
Blodticka
Blåmossa
Flagellkvastmossa
Grönpyrola
Mindre märgborre
Tjäder</t>
        </is>
      </c>
      <c r="V5">
        <f>HYPERLINK("https://klasma.github.io/Logging_0582/artfynd/A 23061-2026 artfynd.xlsx", "A 23061-2026")</f>
        <v/>
      </c>
      <c r="W5">
        <f>HYPERLINK("https://klasma.github.io/Logging_0582/kartor/A 23061-2026 karta.png", "A 23061-2026")</f>
        <v/>
      </c>
      <c r="X5">
        <f>HYPERLINK("https://klasma.github.io/Logging_0582/knärot/A 23061-2026 karta knärot.png", "A 23061-2026")</f>
        <v/>
      </c>
      <c r="Y5">
        <f>HYPERLINK("https://klasma.github.io/Logging_0582/klagomål/A 23061-2026 FSC-klagomål.docx", "A 23061-2026")</f>
        <v/>
      </c>
      <c r="Z5">
        <f>HYPERLINK("https://klasma.github.io/Logging_0582/klagomålsmail/A 23061-2026 FSC-klagomål mail.docx", "A 23061-2026")</f>
        <v/>
      </c>
      <c r="AA5">
        <f>HYPERLINK("https://klasma.github.io/Logging_0582/tillsyn/A 23061-2026 tillsynsbegäran.docx", "A 23061-2026")</f>
        <v/>
      </c>
      <c r="AB5">
        <f>HYPERLINK("https://klasma.github.io/Logging_0582/tillsynsmail/A 23061-2026 tillsynsbegäran mail.docx", "A 23061-2026")</f>
        <v/>
      </c>
      <c r="AC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46221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s="2" t="inlineStr">
        <is>
          <t>Gyllensopp
Gullklubba
Kandelabersvamp
Persiljespindling
Svart skogssnigel
Björksplintborre
Noshornsoxe
Rävticka
Vanlig groda
Vanlig padda</t>
        </is>
      </c>
      <c r="V6">
        <f>HYPERLINK("https://klasma.github.io/Logging_0582/artfynd/A 26931-2026 artfynd.xlsx", "A 26931-2026")</f>
        <v/>
      </c>
      <c r="W6">
        <f>HYPERLINK("https://klasma.github.io/Logging_0582/kartor/A 26931-2026 karta.png", "A 26931-2026")</f>
        <v/>
      </c>
      <c r="Y6">
        <f>HYPERLINK("https://klasma.github.io/Logging_0582/klagomål/A 26931-2026 FSC-klagomål.docx", "A 26931-2026")</f>
        <v/>
      </c>
      <c r="Z6">
        <f>HYPERLINK("https://klasma.github.io/Logging_0582/klagomålsmail/A 26931-2026 FSC-klagomål mail.docx", "A 26931-2026")</f>
        <v/>
      </c>
      <c r="AA6">
        <f>HYPERLINK("https://klasma.github.io/Logging_0582/tillsyn/A 26931-2026 tillsynsbegäran.docx", "A 26931-2026")</f>
        <v/>
      </c>
      <c r="AB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46221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s="2" t="inlineStr">
        <is>
          <t>Gammelekslav
Oxtungssvamp
Reliktbock
Rosa skärelav
Skuggorangelav
Tallticka
Blåmossa
Gullviva</t>
        </is>
      </c>
      <c r="V7">
        <f>HYPERLINK("https://klasma.github.io/Logging_0582/artfynd/A 13129-2022 artfynd.xlsx", "A 13129-2022")</f>
        <v/>
      </c>
      <c r="W7">
        <f>HYPERLINK("https://klasma.github.io/Logging_0582/kartor/A 13129-2022 karta.png", "A 13129-2022")</f>
        <v/>
      </c>
      <c r="Y7">
        <f>HYPERLINK("https://klasma.github.io/Logging_0582/klagomål/A 13129-2022 FSC-klagomål.docx", "A 13129-2022")</f>
        <v/>
      </c>
      <c r="Z7">
        <f>HYPERLINK("https://klasma.github.io/Logging_0582/klagomålsmail/A 13129-2022 FSC-klagomål mail.docx", "A 13129-2022")</f>
        <v/>
      </c>
      <c r="AA7">
        <f>HYPERLINK("https://klasma.github.io/Logging_0582/tillsyn/A 13129-2022 tillsynsbegäran.docx", "A 13129-2022")</f>
        <v/>
      </c>
      <c r="AB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46221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s="2" t="inlineStr">
        <is>
          <t>Gammelekslav
Gul dropplav
Grå skärelav
Gulpudrad spiklav
Rostfläck</t>
        </is>
      </c>
      <c r="V8">
        <f>HYPERLINK("https://klasma.github.io/Logging_0582/artfynd/A 56879-2023 artfynd.xlsx", "A 56879-2023")</f>
        <v/>
      </c>
      <c r="W8">
        <f>HYPERLINK("https://klasma.github.io/Logging_0582/kartor/A 56879-2023 karta.png", "A 56879-2023")</f>
        <v/>
      </c>
      <c r="Y8">
        <f>HYPERLINK("https://klasma.github.io/Logging_0582/klagomål/A 56879-2023 FSC-klagomål.docx", "A 56879-2023")</f>
        <v/>
      </c>
      <c r="Z8">
        <f>HYPERLINK("https://klasma.github.io/Logging_0582/klagomålsmail/A 56879-2023 FSC-klagomål mail.docx", "A 56879-2023")</f>
        <v/>
      </c>
      <c r="AA8">
        <f>HYPERLINK("https://klasma.github.io/Logging_0582/tillsyn/A 56879-2023 tillsynsbegäran.docx", "A 56879-2023")</f>
        <v/>
      </c>
      <c r="AB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46221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s="2" t="inlineStr">
        <is>
          <t>Hyacintvaxskivling
Kattfotslav
Brandticka
Glansfläck
Skriftlav</t>
        </is>
      </c>
      <c r="V9">
        <f>HYPERLINK("https://klasma.github.io/Logging_0582/artfynd/A 23100-2026 artfynd.xlsx", "A 23100-2026")</f>
        <v/>
      </c>
      <c r="W9">
        <f>HYPERLINK("https://klasma.github.io/Logging_0582/kartor/A 23100-2026 karta.png", "A 23100-2026")</f>
        <v/>
      </c>
      <c r="Y9">
        <f>HYPERLINK("https://klasma.github.io/Logging_0582/klagomål/A 23100-2026 FSC-klagomål.docx", "A 23100-2026")</f>
        <v/>
      </c>
      <c r="Z9">
        <f>HYPERLINK("https://klasma.github.io/Logging_0582/klagomålsmail/A 23100-2026 FSC-klagomål mail.docx", "A 23100-2026")</f>
        <v/>
      </c>
      <c r="AA9">
        <f>HYPERLINK("https://klasma.github.io/Logging_0582/tillsyn/A 23100-2026 tillsynsbegäran.docx", "A 23100-2026")</f>
        <v/>
      </c>
      <c r="AB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46221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s="2" t="inlineStr">
        <is>
          <t>Gråvaxing
Hagfingersvamp
Papegojvaxing
Slemvaxing
Vitvaxing agg.</t>
        </is>
      </c>
      <c r="V10">
        <f>HYPERLINK("https://klasma.github.io/Logging_0582/artfynd/S 4651-2024 artfynd.xlsx", "S 4651-2024")</f>
        <v/>
      </c>
      <c r="W10">
        <f>HYPERLINK("https://klasma.github.io/Logging_0582/kartor/S 4651-2024 karta.png", "S 4651-2024")</f>
        <v/>
      </c>
      <c r="Y10">
        <f>HYPERLINK("https://klasma.github.io/Logging_0582/klagomål/S 4651-2024 FSC-klagomål.docx", "S 4651-2024")</f>
        <v/>
      </c>
      <c r="Z10">
        <f>HYPERLINK("https://klasma.github.io/Logging_0582/klagomålsmail/S 4651-2024 FSC-klagomål mail.docx", "S 4651-2024")</f>
        <v/>
      </c>
      <c r="AA10">
        <f>HYPERLINK("https://klasma.github.io/Logging_0582/tillsyn/S 4651-2024 tillsynsbegäran.docx", "S 4651-2024")</f>
        <v/>
      </c>
      <c r="AB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46221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s="2" t="inlineStr">
        <is>
          <t>Ekpricklav
Lunglav
Större borstspinnare
Trollspinnare
Blåsippa</t>
        </is>
      </c>
      <c r="V11">
        <f>HYPERLINK("https://klasma.github.io/Logging_0582/artfynd/S 1541-2026 artfynd.xlsx", "S 1541-2026")</f>
        <v/>
      </c>
      <c r="W11">
        <f>HYPERLINK("https://klasma.github.io/Logging_0582/kartor/S 1541-2026 karta.png", "S 1541-2026")</f>
        <v/>
      </c>
      <c r="Y11">
        <f>HYPERLINK("https://klasma.github.io/Logging_0582/klagomål/S 1541-2026 FSC-klagomål.docx", "S 1541-2026")</f>
        <v/>
      </c>
      <c r="Z11">
        <f>HYPERLINK("https://klasma.github.io/Logging_0582/klagomålsmail/S 1541-2026 FSC-klagomål mail.docx", "S 1541-2026")</f>
        <v/>
      </c>
      <c r="AA11">
        <f>HYPERLINK("https://klasma.github.io/Logging_0582/tillsyn/S 1541-2026 tillsynsbegäran.docx", "S 1541-2026")</f>
        <v/>
      </c>
      <c r="AB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46221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s="2" t="inlineStr">
        <is>
          <t>Gyllensopp
Persiljespindling
Vanlig groda
Vanlig padda</t>
        </is>
      </c>
      <c r="V12">
        <f>HYPERLINK("https://klasma.github.io/Logging_0582/artfynd/A 26935-2026 artfynd.xlsx", "A 26935-2026")</f>
        <v/>
      </c>
      <c r="W12">
        <f>HYPERLINK("https://klasma.github.io/Logging_0582/kartor/A 26935-2026 karta.png", "A 26935-2026")</f>
        <v/>
      </c>
      <c r="Y12">
        <f>HYPERLINK("https://klasma.github.io/Logging_0582/klagomål/A 26935-2026 FSC-klagomål.docx", "A 26935-2026")</f>
        <v/>
      </c>
      <c r="Z12">
        <f>HYPERLINK("https://klasma.github.io/Logging_0582/klagomålsmail/A 26935-2026 FSC-klagomål mail.docx", "A 26935-2026")</f>
        <v/>
      </c>
      <c r="AA12">
        <f>HYPERLINK("https://klasma.github.io/Logging_0582/tillsyn/A 26935-2026 tillsynsbegäran.docx", "A 26935-2026")</f>
        <v/>
      </c>
      <c r="AB12">
        <f>HYPERLINK("https://klasma.github.io/Logging_0582/tillsynsmail/A 26935-2026 tillsynsbegäran mail.docx", "A 26935-2026")</f>
        <v/>
      </c>
    </row>
    <row r="13" ht="15" customHeight="1">
      <c r="A13" t="inlineStr">
        <is>
          <t>A 42909-2021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44431</v>
      </c>
      <c r="E13" s="1" t="n">
        <v>46221</v>
      </c>
      <c r="F13" t="inlineStr">
        <is>
          <t>ÖSTERGÖTLANDS LÄN</t>
        </is>
      </c>
      <c r="G13" t="inlineStr">
        <is>
          <t>SÖDERKÖPING</t>
        </is>
      </c>
      <c r="I13" t="n">
        <v>0.8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s="2" t="inlineStr">
        <is>
          <t>Skogsalm
Backklöver
Jungfrulin
Svinrot</t>
        </is>
      </c>
      <c r="V13">
        <f>HYPERLINK("https://klasma.github.io/Logging_0582/artfynd/A 42909-2021 artfynd.xlsx", "A 42909-2021")</f>
        <v/>
      </c>
      <c r="W13">
        <f>HYPERLINK("https://klasma.github.io/Logging_0582/kartor/A 42909-2021 karta.png", "A 42909-2021")</f>
        <v/>
      </c>
      <c r="Y13">
        <f>HYPERLINK("https://klasma.github.io/Logging_0582/klagomål/A 42909-2021 FSC-klagomål.docx", "A 42909-2021")</f>
        <v/>
      </c>
      <c r="Z13">
        <f>HYPERLINK("https://klasma.github.io/Logging_0582/klagomålsmail/A 42909-2021 FSC-klagomål mail.docx", "A 42909-2021")</f>
        <v/>
      </c>
      <c r="AA13">
        <f>HYPERLINK("https://klasma.github.io/Logging_0582/tillsyn/A 42909-2021 tillsynsbegäran.docx", "A 42909-2021")</f>
        <v/>
      </c>
      <c r="AB13">
        <f>HYPERLINK("https://klasma.github.io/Logging_0582/tillsynsmail/A 42909-2021 tillsynsbegäran mail.docx", "A 42909-2021")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46221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s="2" t="inlineStr">
        <is>
          <t>Vedskivlav
Blompraktbagge
Tjäder</t>
        </is>
      </c>
      <c r="V14">
        <f>HYPERLINK("https://klasma.github.io/Logging_0582/artfynd/A 23756-2026 artfynd.xlsx", "A 23756-2026")</f>
        <v/>
      </c>
      <c r="W14">
        <f>HYPERLINK("https://klasma.github.io/Logging_0582/kartor/A 23756-2026 karta.png", "A 23756-2026")</f>
        <v/>
      </c>
      <c r="Y14">
        <f>HYPERLINK("https://klasma.github.io/Logging_0582/klagomål/A 23756-2026 FSC-klagomål.docx", "A 23756-2026")</f>
        <v/>
      </c>
      <c r="Z14">
        <f>HYPERLINK("https://klasma.github.io/Logging_0582/klagomålsmail/A 23756-2026 FSC-klagomål mail.docx", "A 23756-2026")</f>
        <v/>
      </c>
      <c r="AA14">
        <f>HYPERLINK("https://klasma.github.io/Logging_0582/tillsyn/A 23756-2026 tillsynsbegäran.docx", "A 23756-2026")</f>
        <v/>
      </c>
      <c r="AB14">
        <f>HYPERLINK("https://klasma.github.io/Logging_0582/tillsynsmail/A 23756-2026 tillsynsbegäran mail.docx", "A 23756-2026")</f>
        <v/>
      </c>
      <c r="AC14">
        <f>HYPERLINK("https://klasma.github.io/Logging_0582/fåglar/A 23756-2026 prioriterade fågelarter.docx", "A 23756-2026")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46221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Nordfladdermus
Dvärgpipistrell
Större brunfladdermus</t>
        </is>
      </c>
      <c r="V15">
        <f>HYPERLINK("https://klasma.github.io/Logging_0582/artfynd/A 30438-2022 artfynd.xlsx", "A 30438-2022")</f>
        <v/>
      </c>
      <c r="W15">
        <f>HYPERLINK("https://klasma.github.io/Logging_0582/kartor/A 30438-2022 karta.png", "A 30438-2022")</f>
        <v/>
      </c>
      <c r="Y15">
        <f>HYPERLINK("https://klasma.github.io/Logging_0582/klagomål/A 30438-2022 FSC-klagomål.docx", "A 30438-2022")</f>
        <v/>
      </c>
      <c r="Z15">
        <f>HYPERLINK("https://klasma.github.io/Logging_0582/klagomålsmail/A 30438-2022 FSC-klagomål mail.docx", "A 30438-2022")</f>
        <v/>
      </c>
      <c r="AA15">
        <f>HYPERLINK("https://klasma.github.io/Logging_0582/tillsyn/A 30438-2022 tillsynsbegäran.docx", "A 30438-2022")</f>
        <v/>
      </c>
      <c r="AB15">
        <f>HYPERLINK("https://klasma.github.io/Logging_0582/tillsynsmail/A 30438-2022 tillsynsbegäran mail.docx", "A 30438-2022")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46221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s="2" t="inlineStr">
        <is>
          <t>Ask
Korskovall</t>
        </is>
      </c>
      <c r="V16">
        <f>HYPERLINK("https://klasma.github.io/Logging_0582/artfynd/A 7879-2023 artfynd.xlsx", "A 7879-2023")</f>
        <v/>
      </c>
      <c r="W16">
        <f>HYPERLINK("https://klasma.github.io/Logging_0582/kartor/A 7879-2023 karta.png", "A 7879-2023")</f>
        <v/>
      </c>
      <c r="Y16">
        <f>HYPERLINK("https://klasma.github.io/Logging_0582/klagomål/A 7879-2023 FSC-klagomål.docx", "A 7879-2023")</f>
        <v/>
      </c>
      <c r="Z16">
        <f>HYPERLINK("https://klasma.github.io/Logging_0582/klagomålsmail/A 7879-2023 FSC-klagomål mail.docx", "A 7879-2023")</f>
        <v/>
      </c>
      <c r="AA16">
        <f>HYPERLINK("https://klasma.github.io/Logging_0582/tillsyn/A 7879-2023 tillsynsbegäran.docx", "A 7879-2023")</f>
        <v/>
      </c>
      <c r="AB16">
        <f>HYPERLINK("https://klasma.github.io/Logging_0582/tillsynsmail/A 7879-2023 tillsynsbegäran mail.docx", "A 7879-2023")</f>
        <v/>
      </c>
    </row>
    <row r="17" ht="15" customHeight="1">
      <c r="A17" t="inlineStr">
        <is>
          <t>A 37183-2025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46221</v>
      </c>
      <c r="F17" t="inlineStr">
        <is>
          <t>ÖSTERGÖTLANDS LÄN</t>
        </is>
      </c>
      <c r="G17" t="inlineStr">
        <is>
          <t>SÖDERKÖPING</t>
        </is>
      </c>
      <c r="I17" t="n">
        <v>4.8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Vedskivlav
Vanlig padda</t>
        </is>
      </c>
      <c r="V17">
        <f>HYPERLINK("https://klasma.github.io/Logging_0582/artfynd/A 37183-2025 artfynd.xlsx", "A 37183-2025")</f>
        <v/>
      </c>
      <c r="W17">
        <f>HYPERLINK("https://klasma.github.io/Logging_0582/kartor/A 37183-2025 karta.png", "A 37183-2025")</f>
        <v/>
      </c>
      <c r="Y17">
        <f>HYPERLINK("https://klasma.github.io/Logging_0582/klagomål/A 37183-2025 FSC-klagomål.docx", "A 37183-2025")</f>
        <v/>
      </c>
      <c r="Z17">
        <f>HYPERLINK("https://klasma.github.io/Logging_0582/klagomålsmail/A 37183-2025 FSC-klagomål mail.docx", "A 37183-2025")</f>
        <v/>
      </c>
      <c r="AA17">
        <f>HYPERLINK("https://klasma.github.io/Logging_0582/tillsyn/A 37183-2025 tillsynsbegäran.docx", "A 37183-2025")</f>
        <v/>
      </c>
      <c r="AB17">
        <f>HYPERLINK("https://klasma.github.io/Logging_0582/tillsynsmail/A 37183-2025 tillsynsbegäran mail.docx", "A 37183-2025")</f>
        <v/>
      </c>
    </row>
    <row r="18" ht="15" customHeight="1">
      <c r="A18" t="inlineStr">
        <is>
          <t>A 7847-2026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46061</v>
      </c>
      <c r="E18" s="1" t="n">
        <v>46221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Huggorm
Vanlig snok</t>
        </is>
      </c>
      <c r="V18">
        <f>HYPERLINK("https://klasma.github.io/Logging_0582/artfynd/A 7847-2026 artfynd.xlsx", "A 7847-2026")</f>
        <v/>
      </c>
      <c r="W18">
        <f>HYPERLINK("https://klasma.github.io/Logging_0582/kartor/A 7847-2026 karta.png", "A 7847-2026")</f>
        <v/>
      </c>
      <c r="Y18">
        <f>HYPERLINK("https://klasma.github.io/Logging_0582/klagomål/A 7847-2026 FSC-klagomål.docx", "A 7847-2026")</f>
        <v/>
      </c>
      <c r="Z18">
        <f>HYPERLINK("https://klasma.github.io/Logging_0582/klagomålsmail/A 7847-2026 FSC-klagomål mail.docx", "A 7847-2026")</f>
        <v/>
      </c>
      <c r="AA18">
        <f>HYPERLINK("https://klasma.github.io/Logging_0582/tillsyn/A 7847-2026 tillsynsbegäran.docx", "A 7847-2026")</f>
        <v/>
      </c>
      <c r="AB18">
        <f>HYPERLINK("https://klasma.github.io/Logging_0582/tillsynsmail/A 7847-2026 tillsynsbegäran mail.docx", "A 7847-2026")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46221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Hasselsnok
Kopparödla</t>
        </is>
      </c>
      <c r="V19">
        <f>HYPERLINK("https://klasma.github.io/Logging_0582/artfynd/A 21648-2023 artfynd.xlsx", "A 21648-2023")</f>
        <v/>
      </c>
      <c r="W19">
        <f>HYPERLINK("https://klasma.github.io/Logging_0582/kartor/A 21648-2023 karta.png", "A 21648-2023")</f>
        <v/>
      </c>
      <c r="Y19">
        <f>HYPERLINK("https://klasma.github.io/Logging_0582/klagomål/A 21648-2023 FSC-klagomål.docx", "A 21648-2023")</f>
        <v/>
      </c>
      <c r="Z19">
        <f>HYPERLINK("https://klasma.github.io/Logging_0582/klagomålsmail/A 21648-2023 FSC-klagomål mail.docx", "A 21648-2023")</f>
        <v/>
      </c>
      <c r="AA19">
        <f>HYPERLINK("https://klasma.github.io/Logging_0582/tillsyn/A 21648-2023 tillsynsbegäran.docx", "A 21648-2023")</f>
        <v/>
      </c>
      <c r="AB19">
        <f>HYPERLINK("https://klasma.github.io/Logging_0582/tillsynsmail/A 21648-2023 tillsynsbegäran mail.docx", "A 21648-2023")</f>
        <v/>
      </c>
    </row>
    <row r="20" ht="15" customHeight="1">
      <c r="A20" t="inlineStr">
        <is>
          <t>A 49366-2023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45211</v>
      </c>
      <c r="E20" s="1" t="n">
        <v>46221</v>
      </c>
      <c r="F20" t="inlineStr">
        <is>
          <t>ÖSTERGÖTLANDS LÄN</t>
        </is>
      </c>
      <c r="G20" t="inlineStr">
        <is>
          <t>SÖDERKÖPING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Krusfrö
Sångsvan</t>
        </is>
      </c>
      <c r="V20">
        <f>HYPERLINK("https://klasma.github.io/Logging_0582/artfynd/A 49366-2023 artfynd.xlsx", "A 49366-2023")</f>
        <v/>
      </c>
      <c r="W20">
        <f>HYPERLINK("https://klasma.github.io/Logging_0582/kartor/A 49366-2023 karta.png", "A 49366-2023")</f>
        <v/>
      </c>
      <c r="Y20">
        <f>HYPERLINK("https://klasma.github.io/Logging_0582/klagomål/A 49366-2023 FSC-klagomål.docx", "A 49366-2023")</f>
        <v/>
      </c>
      <c r="Z20">
        <f>HYPERLINK("https://klasma.github.io/Logging_0582/klagomålsmail/A 49366-2023 FSC-klagomål mail.docx", "A 49366-2023")</f>
        <v/>
      </c>
      <c r="AA20">
        <f>HYPERLINK("https://klasma.github.io/Logging_0582/tillsyn/A 49366-2023 tillsynsbegäran.docx", "A 49366-2023")</f>
        <v/>
      </c>
      <c r="AB20">
        <f>HYPERLINK("https://klasma.github.io/Logging_0582/tillsynsmail/A 49366-2023 tillsynsbegäran mail.docx", "A 49366-2023")</f>
        <v/>
      </c>
      <c r="AC20">
        <f>HYPERLINK("https://klasma.github.io/Logging_0582/fåglar/A 49366-2023 prioriterade fågelarter.docx", "A 49366-2023")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46221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Tallticka
Igelkottsröksvamp</t>
        </is>
      </c>
      <c r="V21">
        <f>HYPERLINK("https://klasma.github.io/Logging_0582/artfynd/A 394-2026 artfynd.xlsx", "A 394-2026")</f>
        <v/>
      </c>
      <c r="W21">
        <f>HYPERLINK("https://klasma.github.io/Logging_0582/kartor/A 394-2026 karta.png", "A 394-2026")</f>
        <v/>
      </c>
      <c r="Y21">
        <f>HYPERLINK("https://klasma.github.io/Logging_0582/klagomål/A 394-2026 FSC-klagomål.docx", "A 394-2026")</f>
        <v/>
      </c>
      <c r="Z21">
        <f>HYPERLINK("https://klasma.github.io/Logging_0582/klagomålsmail/A 394-2026 FSC-klagomål mail.docx", "A 394-2026")</f>
        <v/>
      </c>
      <c r="AA21">
        <f>HYPERLINK("https://klasma.github.io/Logging_0582/tillsyn/A 394-2026 tillsynsbegäran.docx", "A 394-2026")</f>
        <v/>
      </c>
      <c r="AB21">
        <f>HYPERLINK("https://klasma.github.io/Logging_0582/tillsynsmail/A 394-2026 tillsynsbegäran mail.docx", "A 394-2026")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46221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Gul dropplav
Gulpudrad spiklav</t>
        </is>
      </c>
      <c r="V22">
        <f>HYPERLINK("https://klasma.github.io/Logging_0582/artfynd/A 21042-2026 artfynd.xlsx", "A 21042-2026")</f>
        <v/>
      </c>
      <c r="W22">
        <f>HYPERLINK("https://klasma.github.io/Logging_0582/kartor/A 21042-2026 karta.png", "A 21042-2026")</f>
        <v/>
      </c>
      <c r="Y22">
        <f>HYPERLINK("https://klasma.github.io/Logging_0582/klagomål/A 21042-2026 FSC-klagomål.docx", "A 21042-2026")</f>
        <v/>
      </c>
      <c r="Z22">
        <f>HYPERLINK("https://klasma.github.io/Logging_0582/klagomålsmail/A 21042-2026 FSC-klagomål mail.docx", "A 21042-2026")</f>
        <v/>
      </c>
      <c r="AA22">
        <f>HYPERLINK("https://klasma.github.io/Logging_0582/tillsyn/A 21042-2026 tillsynsbegäran.docx", "A 21042-2026")</f>
        <v/>
      </c>
      <c r="AB22">
        <f>HYPERLINK("https://klasma.github.io/Logging_0582/tillsynsmail/A 21042-2026 tillsynsbegäran mail.docx", "A 21042-2026")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46221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Vedskivlav
Vanlig padda</t>
        </is>
      </c>
      <c r="V23">
        <f>HYPERLINK("https://klasma.github.io/Logging_0582/artfynd/S 2274-2025 artfynd.xlsx", "S 2274-2025")</f>
        <v/>
      </c>
      <c r="W23">
        <f>HYPERLINK("https://klasma.github.io/Logging_0582/kartor/S 2274-2025 karta.png", "S 2274-2025")</f>
        <v/>
      </c>
      <c r="Y23">
        <f>HYPERLINK("https://klasma.github.io/Logging_0582/klagomål/S 2274-2025 FSC-klagomål.docx", "S 2274-2025")</f>
        <v/>
      </c>
      <c r="Z23">
        <f>HYPERLINK("https://klasma.github.io/Logging_0582/klagomålsmail/S 2274-2025 FSC-klagomål mail.docx", "S 2274-2025")</f>
        <v/>
      </c>
      <c r="AA23">
        <f>HYPERLINK("https://klasma.github.io/Logging_0582/tillsyn/S 2274-2025 tillsynsbegäran.docx", "S 2274-2025")</f>
        <v/>
      </c>
      <c r="AB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46221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Tallharticka</t>
        </is>
      </c>
      <c r="V24">
        <f>HYPERLINK("https://klasma.github.io/Logging_0582/artfynd/A 45130-2022 artfynd.xlsx", "A 45130-2022")</f>
        <v/>
      </c>
      <c r="W24">
        <f>HYPERLINK("https://klasma.github.io/Logging_0582/kartor/A 45130-2022 karta.png", "A 45130-2022")</f>
        <v/>
      </c>
      <c r="Y24">
        <f>HYPERLINK("https://klasma.github.io/Logging_0582/klagomål/A 45130-2022 FSC-klagomål.docx", "A 45130-2022")</f>
        <v/>
      </c>
      <c r="Z24">
        <f>HYPERLINK("https://klasma.github.io/Logging_0582/klagomålsmail/A 45130-2022 FSC-klagomål mail.docx", "A 45130-2022")</f>
        <v/>
      </c>
      <c r="AA24">
        <f>HYPERLINK("https://klasma.github.io/Logging_0582/tillsyn/A 45130-2022 tillsynsbegäran.docx", "A 45130-2022")</f>
        <v/>
      </c>
      <c r="AB24">
        <f>HYPERLINK("https://klasma.github.io/Logging_0582/tillsynsmail/A 45130-2022 tillsynsbegäran mail.docx", "A 45130-2022")</f>
        <v/>
      </c>
    </row>
    <row r="25" ht="15" customHeight="1">
      <c r="A25" t="inlineStr">
        <is>
          <t>A 8009-2026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46063</v>
      </c>
      <c r="E25" s="1" t="n">
        <v>46221</v>
      </c>
      <c r="F25" t="inlineStr">
        <is>
          <t>ÖSTERGÖTLANDS LÄN</t>
        </is>
      </c>
      <c r="G25" t="inlineStr">
        <is>
          <t>SÖDERKÖPING</t>
        </is>
      </c>
      <c r="H25" t="inlineStr">
        <is>
          <t>Allmännings- och besparingsskogar</t>
        </is>
      </c>
      <c r="I25" t="n">
        <v>5.3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Toppvaxing</t>
        </is>
      </c>
      <c r="V25">
        <f>HYPERLINK("https://klasma.github.io/Logging_0582/artfynd/A 8009-2026 artfynd.xlsx", "A 8009-2026")</f>
        <v/>
      </c>
      <c r="W25">
        <f>HYPERLINK("https://klasma.github.io/Logging_0582/kartor/A 8009-2026 karta.png", "A 8009-2026")</f>
        <v/>
      </c>
      <c r="Y25">
        <f>HYPERLINK("https://klasma.github.io/Logging_0582/klagomål/A 8009-2026 FSC-klagomål.docx", "A 8009-2026")</f>
        <v/>
      </c>
      <c r="Z25">
        <f>HYPERLINK("https://klasma.github.io/Logging_0582/klagomålsmail/A 8009-2026 FSC-klagomål mail.docx", "A 8009-2026")</f>
        <v/>
      </c>
      <c r="AA25">
        <f>HYPERLINK("https://klasma.github.io/Logging_0582/tillsyn/A 8009-2026 tillsynsbegäran.docx", "A 8009-2026")</f>
        <v/>
      </c>
      <c r="AB25">
        <f>HYPERLINK("https://klasma.github.io/Logging_0582/tillsynsmail/A 8009-2026 tillsynsbegäran mail.docx", "A 8009-2026")</f>
        <v/>
      </c>
    </row>
    <row r="26" ht="15" customHeight="1">
      <c r="A26" t="inlineStr">
        <is>
          <t>A 10992-2026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46079</v>
      </c>
      <c r="E26" s="1" t="n">
        <v>46221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Kyrkan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s="2" t="inlineStr">
        <is>
          <t>Ask</t>
        </is>
      </c>
      <c r="V26">
        <f>HYPERLINK("https://klasma.github.io/Logging_0582/artfynd/A 10992-2026 artfynd.xlsx", "A 10992-2026")</f>
        <v/>
      </c>
      <c r="W26">
        <f>HYPERLINK("https://klasma.github.io/Logging_0582/kartor/A 10992-2026 karta.png", "A 10992-2026")</f>
        <v/>
      </c>
      <c r="Y26">
        <f>HYPERLINK("https://klasma.github.io/Logging_0582/klagomål/A 10992-2026 FSC-klagomål.docx", "A 10992-2026")</f>
        <v/>
      </c>
      <c r="Z26">
        <f>HYPERLINK("https://klasma.github.io/Logging_0582/klagomålsmail/A 10992-2026 FSC-klagomål mail.docx", "A 10992-2026")</f>
        <v/>
      </c>
      <c r="AA26">
        <f>HYPERLINK("https://klasma.github.io/Logging_0582/tillsyn/A 10992-2026 tillsynsbegäran.docx", "A 10992-2026")</f>
        <v/>
      </c>
      <c r="AB26">
        <f>HYPERLINK("https://klasma.github.io/Logging_0582/tillsynsmail/A 10992-2026 tillsynsbegäran mail.docx", "A 10992-2026")</f>
        <v/>
      </c>
    </row>
    <row r="27" ht="15" customHeight="1">
      <c r="A27" t="inlineStr">
        <is>
          <t>A 354-2024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45295</v>
      </c>
      <c r="E27" s="1" t="n">
        <v>46221</v>
      </c>
      <c r="F27" t="inlineStr">
        <is>
          <t>ÖSTERGÖTLANDS LÄN</t>
        </is>
      </c>
      <c r="G27" t="inlineStr">
        <is>
          <t>SÖDERKÖPING</t>
        </is>
      </c>
      <c r="I27" t="n">
        <v>10.2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Rödlånke</t>
        </is>
      </c>
      <c r="V27">
        <f>HYPERLINK("https://klasma.github.io/Logging_0582/artfynd/A 354-2024 artfynd.xlsx", "A 354-2024")</f>
        <v/>
      </c>
      <c r="W27">
        <f>HYPERLINK("https://klasma.github.io/Logging_0582/kartor/A 354-2024 karta.png", "A 354-2024")</f>
        <v/>
      </c>
      <c r="Y27">
        <f>HYPERLINK("https://klasma.github.io/Logging_0582/klagomål/A 354-2024 FSC-klagomål.docx", "A 354-2024")</f>
        <v/>
      </c>
      <c r="Z27">
        <f>HYPERLINK("https://klasma.github.io/Logging_0582/klagomålsmail/A 354-2024 FSC-klagomål mail.docx", "A 354-2024")</f>
        <v/>
      </c>
      <c r="AA27">
        <f>HYPERLINK("https://klasma.github.io/Logging_0582/tillsyn/A 354-2024 tillsynsbegäran.docx", "A 354-2024")</f>
        <v/>
      </c>
      <c r="AB27">
        <f>HYPERLINK("https://klasma.github.io/Logging_0582/tillsynsmail/A 354-2024 tillsynsbegäran mail.docx", "A 354-2024")</f>
        <v/>
      </c>
    </row>
    <row r="28" ht="15" customHeight="1">
      <c r="A28" t="inlineStr">
        <is>
          <t>A 17632-2026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46121</v>
      </c>
      <c r="E28" s="1" t="n">
        <v>46221</v>
      </c>
      <c r="F28" t="inlineStr">
        <is>
          <t>ÖSTERGÖTLANDS LÄN</t>
        </is>
      </c>
      <c r="G28" t="inlineStr">
        <is>
          <t>SÖDERKÖPING</t>
        </is>
      </c>
      <c r="I28" t="n">
        <v>3.3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Ekoxe</t>
        </is>
      </c>
      <c r="V28">
        <f>HYPERLINK("https://klasma.github.io/Logging_0582/artfynd/A 17632-2026 artfynd.xlsx", "A 17632-2026")</f>
        <v/>
      </c>
      <c r="W28">
        <f>HYPERLINK("https://klasma.github.io/Logging_0582/kartor/A 17632-2026 karta.png", "A 17632-2026")</f>
        <v/>
      </c>
      <c r="Y28">
        <f>HYPERLINK("https://klasma.github.io/Logging_0582/klagomål/A 17632-2026 FSC-klagomål.docx", "A 17632-2026")</f>
        <v/>
      </c>
      <c r="Z28">
        <f>HYPERLINK("https://klasma.github.io/Logging_0582/klagomålsmail/A 17632-2026 FSC-klagomål mail.docx", "A 17632-2026")</f>
        <v/>
      </c>
      <c r="AA28">
        <f>HYPERLINK("https://klasma.github.io/Logging_0582/tillsyn/A 17632-2026 tillsynsbegäran.docx", "A 17632-2026")</f>
        <v/>
      </c>
      <c r="AB28">
        <f>HYPERLINK("https://klasma.github.io/Logging_0582/tillsynsmail/A 17632-2026 tillsynsbegäran mail.docx", "A 17632-2026")</f>
        <v/>
      </c>
    </row>
    <row r="29" ht="15" customHeight="1">
      <c r="A29" t="inlineStr">
        <is>
          <t>A 50708-2024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45601</v>
      </c>
      <c r="E29" s="1" t="n">
        <v>46221</v>
      </c>
      <c r="F29" t="inlineStr">
        <is>
          <t>ÖSTERGÖTLANDS LÄN</t>
        </is>
      </c>
      <c r="G29" t="inlineStr">
        <is>
          <t>SÖDERKÖPING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Fällmossa</t>
        </is>
      </c>
      <c r="V29">
        <f>HYPERLINK("https://klasma.github.io/Logging_0582/artfynd/A 50708-2024 artfynd.xlsx", "A 50708-2024")</f>
        <v/>
      </c>
      <c r="W29">
        <f>HYPERLINK("https://klasma.github.io/Logging_0582/kartor/A 50708-2024 karta.png", "A 50708-2024")</f>
        <v/>
      </c>
      <c r="Y29">
        <f>HYPERLINK("https://klasma.github.io/Logging_0582/klagomål/A 50708-2024 FSC-klagomål.docx", "A 50708-2024")</f>
        <v/>
      </c>
      <c r="Z29">
        <f>HYPERLINK("https://klasma.github.io/Logging_0582/klagomålsmail/A 50708-2024 FSC-klagomål mail.docx", "A 50708-2024")</f>
        <v/>
      </c>
      <c r="AA29">
        <f>HYPERLINK("https://klasma.github.io/Logging_0582/tillsyn/A 50708-2024 tillsynsbegäran.docx", "A 50708-2024")</f>
        <v/>
      </c>
      <c r="AB29">
        <f>HYPERLINK("https://klasma.github.io/Logging_0582/tillsynsmail/A 50708-2024 tillsynsbegäran mail.docx", "A 50708-2024")</f>
        <v/>
      </c>
    </row>
    <row r="30" ht="15" customHeight="1">
      <c r="A30" t="inlineStr">
        <is>
          <t>A 20269-2026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46221</v>
      </c>
      <c r="F30" t="inlineStr">
        <is>
          <t>ÖSTERGÖTLANDS LÄN</t>
        </is>
      </c>
      <c r="G30" t="inlineStr">
        <is>
          <t>SÖDERKÖPING</t>
        </is>
      </c>
      <c r="I30" t="n">
        <v>1.1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Kösa</t>
        </is>
      </c>
      <c r="V30">
        <f>HYPERLINK("https://klasma.github.io/Logging_0582/artfynd/A 20269-2026 artfynd.xlsx", "A 20269-2026")</f>
        <v/>
      </c>
      <c r="W30">
        <f>HYPERLINK("https://klasma.github.io/Logging_0582/kartor/A 20269-2026 karta.png", "A 20269-2026")</f>
        <v/>
      </c>
      <c r="Y30">
        <f>HYPERLINK("https://klasma.github.io/Logging_0582/klagomål/A 20269-2026 FSC-klagomål.docx", "A 20269-2026")</f>
        <v/>
      </c>
      <c r="Z30">
        <f>HYPERLINK("https://klasma.github.io/Logging_0582/klagomålsmail/A 20269-2026 FSC-klagomål mail.docx", "A 20269-2026")</f>
        <v/>
      </c>
      <c r="AA30">
        <f>HYPERLINK("https://klasma.github.io/Logging_0582/tillsyn/A 20269-2026 tillsynsbegäran.docx", "A 20269-2026")</f>
        <v/>
      </c>
      <c r="AB30">
        <f>HYPERLINK("https://klasma.github.io/Logging_0582/tillsynsmail/A 20269-2026 tillsynsbegäran mail.docx", "A 20269-2026")</f>
        <v/>
      </c>
    </row>
    <row r="31" ht="15" customHeight="1">
      <c r="A31" t="inlineStr">
        <is>
          <t>A 4709-2025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45688</v>
      </c>
      <c r="E31" s="1" t="n">
        <v>46221</v>
      </c>
      <c r="F31" t="inlineStr">
        <is>
          <t>ÖSTERGÖTLANDS LÄN</t>
        </is>
      </c>
      <c r="G31" t="inlineStr">
        <is>
          <t>SÖDERKÖPING</t>
        </is>
      </c>
      <c r="I31" t="n">
        <v>5.1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Ekoxe</t>
        </is>
      </c>
      <c r="V31">
        <f>HYPERLINK("https://klasma.github.io/Logging_0582/artfynd/A 4709-2025 artfynd.xlsx", "A 4709-2025")</f>
        <v/>
      </c>
      <c r="W31">
        <f>HYPERLINK("https://klasma.github.io/Logging_0582/kartor/A 4709-2025 karta.png", "A 4709-2025")</f>
        <v/>
      </c>
      <c r="Y31">
        <f>HYPERLINK("https://klasma.github.io/Logging_0582/klagomål/A 4709-2025 FSC-klagomål.docx", "A 4709-2025")</f>
        <v/>
      </c>
      <c r="Z31">
        <f>HYPERLINK("https://klasma.github.io/Logging_0582/klagomålsmail/A 4709-2025 FSC-klagomål mail.docx", "A 4709-2025")</f>
        <v/>
      </c>
      <c r="AA31">
        <f>HYPERLINK("https://klasma.github.io/Logging_0582/tillsyn/A 4709-2025 tillsynsbegäran.docx", "A 4709-2025")</f>
        <v/>
      </c>
      <c r="AB31">
        <f>HYPERLINK("https://klasma.github.io/Logging_0582/tillsynsmail/A 4709-2025 tillsynsbegäran mail.docx", "A 4709-2025")</f>
        <v/>
      </c>
    </row>
    <row r="32" ht="15" customHeight="1">
      <c r="A32" t="inlineStr">
        <is>
          <t>A 8156-2023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44974</v>
      </c>
      <c r="E32" s="1" t="n">
        <v>46221</v>
      </c>
      <c r="F32" t="inlineStr">
        <is>
          <t>ÖSTERGÖTLANDS LÄN</t>
        </is>
      </c>
      <c r="G32" t="inlineStr">
        <is>
          <t>SÖDERKÖPING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Hasselsnok</t>
        </is>
      </c>
      <c r="V32">
        <f>HYPERLINK("https://klasma.github.io/Logging_0582/artfynd/A 8156-2023 artfynd.xlsx", "A 8156-2023")</f>
        <v/>
      </c>
      <c r="W32">
        <f>HYPERLINK("https://klasma.github.io/Logging_0582/kartor/A 8156-2023 karta.png", "A 8156-2023")</f>
        <v/>
      </c>
      <c r="Y32">
        <f>HYPERLINK("https://klasma.github.io/Logging_0582/klagomål/A 8156-2023 FSC-klagomål.docx", "A 8156-2023")</f>
        <v/>
      </c>
      <c r="Z32">
        <f>HYPERLINK("https://klasma.github.io/Logging_0582/klagomålsmail/A 8156-2023 FSC-klagomål mail.docx", "A 8156-2023")</f>
        <v/>
      </c>
      <c r="AA32">
        <f>HYPERLINK("https://klasma.github.io/Logging_0582/tillsyn/A 8156-2023 tillsynsbegäran.docx", "A 8156-2023")</f>
        <v/>
      </c>
      <c r="AB32">
        <f>HYPERLINK("https://klasma.github.io/Logging_0582/tillsynsmail/A 8156-2023 tillsynsbegäran mail.docx", "A 8156-2023")</f>
        <v/>
      </c>
    </row>
    <row r="33" ht="15" customHeight="1">
      <c r="A33" t="inlineStr">
        <is>
          <t>A 28549-2024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46221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Vippärt</t>
        </is>
      </c>
      <c r="V33">
        <f>HYPERLINK("https://klasma.github.io/Logging_0582/artfynd/A 28549-2024 artfynd.xlsx", "A 28549-2024")</f>
        <v/>
      </c>
      <c r="W33">
        <f>HYPERLINK("https://klasma.github.io/Logging_0582/kartor/A 28549-2024 karta.png", "A 28549-2024")</f>
        <v/>
      </c>
      <c r="Y33">
        <f>HYPERLINK("https://klasma.github.io/Logging_0582/klagomål/A 28549-2024 FSC-klagomål.docx", "A 28549-2024")</f>
        <v/>
      </c>
      <c r="Z33">
        <f>HYPERLINK("https://klasma.github.io/Logging_0582/klagomålsmail/A 28549-2024 FSC-klagomål mail.docx", "A 28549-2024")</f>
        <v/>
      </c>
      <c r="AA33">
        <f>HYPERLINK("https://klasma.github.io/Logging_0582/tillsyn/A 28549-2024 tillsynsbegäran.docx", "A 28549-2024")</f>
        <v/>
      </c>
      <c r="AB33">
        <f>HYPERLINK("https://klasma.github.io/Logging_0582/tillsynsmail/A 28549-2024 tillsynsbegäran mail.docx", "A 28549-2024")</f>
        <v/>
      </c>
    </row>
    <row r="34" ht="15" customHeight="1">
      <c r="A34" t="inlineStr">
        <is>
          <t>A 30324-2024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45490</v>
      </c>
      <c r="E34" s="1" t="n">
        <v>46221</v>
      </c>
      <c r="F34" t="inlineStr">
        <is>
          <t>ÖSTERGÖTLANDS LÄN</t>
        </is>
      </c>
      <c r="G34" t="inlineStr">
        <is>
          <t>SÖDERKÖPING</t>
        </is>
      </c>
      <c r="I34" t="n">
        <v>10.9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Nattskärra</t>
        </is>
      </c>
      <c r="V34">
        <f>HYPERLINK("https://klasma.github.io/Logging_0582/artfynd/A 30324-2024 artfynd.xlsx", "A 30324-2024")</f>
        <v/>
      </c>
      <c r="W34">
        <f>HYPERLINK("https://klasma.github.io/Logging_0582/kartor/A 30324-2024 karta.png", "A 30324-2024")</f>
        <v/>
      </c>
      <c r="Y34">
        <f>HYPERLINK("https://klasma.github.io/Logging_0582/klagomål/A 30324-2024 FSC-klagomål.docx", "A 30324-2024")</f>
        <v/>
      </c>
      <c r="Z34">
        <f>HYPERLINK("https://klasma.github.io/Logging_0582/klagomålsmail/A 30324-2024 FSC-klagomål mail.docx", "A 30324-2024")</f>
        <v/>
      </c>
      <c r="AA34">
        <f>HYPERLINK("https://klasma.github.io/Logging_0582/tillsyn/A 30324-2024 tillsynsbegäran.docx", "A 30324-2024")</f>
        <v/>
      </c>
      <c r="AB34">
        <f>HYPERLINK("https://klasma.github.io/Logging_0582/tillsynsmail/A 30324-2024 tillsynsbegäran mail.docx", "A 30324-2024")</f>
        <v/>
      </c>
      <c r="AC34">
        <f>HYPERLINK("https://klasma.github.io/Logging_0582/fåglar/A 30324-2024 prioriterade fågelarter.docx", "A 30324-2024")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46221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Guldlockmossa</t>
        </is>
      </c>
      <c r="V35">
        <f>HYPERLINK("https://klasma.github.io/Logging_0582/artfynd/S 466-2026 artfynd.xlsx", "S 466-2026")</f>
        <v/>
      </c>
      <c r="W35">
        <f>HYPERLINK("https://klasma.github.io/Logging_0582/kartor/S 466-2026 karta.png", "S 466-2026")</f>
        <v/>
      </c>
      <c r="Y35">
        <f>HYPERLINK("https://klasma.github.io/Logging_0582/klagomål/S 466-2026 FSC-klagomål.docx", "S 466-2026")</f>
        <v/>
      </c>
      <c r="Z35">
        <f>HYPERLINK("https://klasma.github.io/Logging_0582/klagomålsmail/S 466-2026 FSC-klagomål mail.docx", "S 466-2026")</f>
        <v/>
      </c>
      <c r="AA35">
        <f>HYPERLINK("https://klasma.github.io/Logging_0582/tillsyn/S 466-2026 tillsynsbegäran.docx", "S 466-2026")</f>
        <v/>
      </c>
      <c r="AB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46221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s="2" t="inlineStr">
        <is>
          <t>Ask</t>
        </is>
      </c>
      <c r="V36">
        <f>HYPERLINK("https://klasma.github.io/Logging_0582/artfynd/S 1539-2026 artfynd.xlsx", "S 1539-2026")</f>
        <v/>
      </c>
      <c r="W36">
        <f>HYPERLINK("https://klasma.github.io/Logging_0582/kartor/S 1539-2026 karta.png", "S 1539-2026")</f>
        <v/>
      </c>
      <c r="Y36">
        <f>HYPERLINK("https://klasma.github.io/Logging_0582/klagomål/S 1539-2026 FSC-klagomål.docx", "S 1539-2026")</f>
        <v/>
      </c>
      <c r="Z36">
        <f>HYPERLINK("https://klasma.github.io/Logging_0582/klagomålsmail/S 1539-2026 FSC-klagomål mail.docx", "S 1539-2026")</f>
        <v/>
      </c>
      <c r="AA36">
        <f>HYPERLINK("https://klasma.github.io/Logging_0582/tillsyn/S 1539-2026 tillsynsbegäran.docx", "S 1539-2026")</f>
        <v/>
      </c>
      <c r="AB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46221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46221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38508-2021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44407</v>
      </c>
      <c r="E39" s="1" t="n">
        <v>46221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39516-2021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44414</v>
      </c>
      <c r="E40" s="1" t="n">
        <v>46221</v>
      </c>
      <c r="F40" t="inlineStr">
        <is>
          <t>ÖSTERGÖTLANDS LÄN</t>
        </is>
      </c>
      <c r="G40" t="inlineStr">
        <is>
          <t>SÖDERKÖPING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8628-2022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46221</v>
      </c>
      <c r="F41" t="inlineStr">
        <is>
          <t>ÖSTERGÖTLANDS LÄN</t>
        </is>
      </c>
      <c r="G41" t="inlineStr">
        <is>
          <t>SÖDERKÖPING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48091-2021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46221</v>
      </c>
      <c r="F42" t="inlineStr">
        <is>
          <t>ÖSTERGÖTLANDS LÄN</t>
        </is>
      </c>
      <c r="G42" t="inlineStr">
        <is>
          <t>SÖDERKÖPING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17275-2022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44678</v>
      </c>
      <c r="E43" s="1" t="n">
        <v>46221</v>
      </c>
      <c r="F43" t="inlineStr">
        <is>
          <t>ÖSTERGÖTLANDS LÄN</t>
        </is>
      </c>
      <c r="G43" t="inlineStr">
        <is>
          <t>SÖDERKÖPING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19338-2022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44692</v>
      </c>
      <c r="E44" s="1" t="n">
        <v>46221</v>
      </c>
      <c r="F44" t="inlineStr">
        <is>
          <t>ÖSTERGÖTLANDS LÄN</t>
        </is>
      </c>
      <c r="G44" t="inlineStr">
        <is>
          <t>SÖDERKÖPING</t>
        </is>
      </c>
      <c r="H44" t="inlineStr">
        <is>
          <t>Kommuner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56678-2021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44481</v>
      </c>
      <c r="E45" s="1" t="n">
        <v>46221</v>
      </c>
      <c r="F45" t="inlineStr">
        <is>
          <t>ÖSTERGÖTLANDS LÄN</t>
        </is>
      </c>
      <c r="G45" t="inlineStr">
        <is>
          <t>SÖDERKÖPING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40642-2021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44420</v>
      </c>
      <c r="E46" s="1" t="n">
        <v>46221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46221</v>
      </c>
      <c r="F47" t="inlineStr">
        <is>
          <t>ÖSTERGÖTLANDS LÄN</t>
        </is>
      </c>
      <c r="G47" t="inlineStr">
        <is>
          <t>SÖDERKÖPING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46221</v>
      </c>
      <c r="F48" t="inlineStr">
        <is>
          <t>ÖSTERGÖTLANDS LÄN</t>
        </is>
      </c>
      <c r="G48" t="inlineStr">
        <is>
          <t>SÖDERKÖPING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46221</v>
      </c>
      <c r="F49" t="inlineStr">
        <is>
          <t>ÖSTERGÖTLANDS LÄN</t>
        </is>
      </c>
      <c r="G49" t="inlineStr">
        <is>
          <t>SÖDERKÖPING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10836-2022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44627</v>
      </c>
      <c r="E50" s="1" t="n">
        <v>46221</v>
      </c>
      <c r="F50" t="inlineStr">
        <is>
          <t>ÖSTERGÖTLANDS LÄN</t>
        </is>
      </c>
      <c r="G50" t="inlineStr">
        <is>
          <t>SÖDERKÖPING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18251-2022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46221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44592</v>
      </c>
      <c r="E52" s="1" t="n">
        <v>46221</v>
      </c>
      <c r="F52" t="inlineStr">
        <is>
          <t>ÖSTERGÖTLANDS LÄN</t>
        </is>
      </c>
      <c r="G52" t="inlineStr">
        <is>
          <t>SÖDERKÖPING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42432-2022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44831</v>
      </c>
      <c r="E53" s="1" t="n">
        <v>46221</v>
      </c>
      <c r="F53" t="inlineStr">
        <is>
          <t>ÖSTERGÖTLANDS LÄN</t>
        </is>
      </c>
      <c r="G53" t="inlineStr">
        <is>
          <t>SÖDERKÖPING</t>
        </is>
      </c>
      <c r="I53" t="n">
        <v>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54324-2022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44882</v>
      </c>
      <c r="E54" s="1" t="n">
        <v>46221</v>
      </c>
      <c r="F54" t="inlineStr">
        <is>
          <t>ÖSTERGÖTLANDS LÄN</t>
        </is>
      </c>
      <c r="G54" t="inlineStr">
        <is>
          <t>SÖDERKÖPING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44567</v>
      </c>
      <c r="E55" s="1" t="n">
        <v>46221</v>
      </c>
      <c r="F55" t="inlineStr">
        <is>
          <t>ÖSTERGÖTLANDS LÄN</t>
        </is>
      </c>
      <c r="G55" t="inlineStr">
        <is>
          <t>SÖDERKÖPING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23774-2022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44722</v>
      </c>
      <c r="E56" s="1" t="n">
        <v>46221</v>
      </c>
      <c r="F56" t="inlineStr">
        <is>
          <t>ÖSTERGÖTLANDS LÄN</t>
        </is>
      </c>
      <c r="G56" t="inlineStr">
        <is>
          <t>SÖDERKÖPING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59415-2021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44491</v>
      </c>
      <c r="E57" s="1" t="n">
        <v>46221</v>
      </c>
      <c r="F57" t="inlineStr">
        <is>
          <t>ÖSTERGÖTLANDS LÄN</t>
        </is>
      </c>
      <c r="G57" t="inlineStr">
        <is>
          <t>SÖDERKÖPING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39517-2021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44414</v>
      </c>
      <c r="E58" s="1" t="n">
        <v>46221</v>
      </c>
      <c r="F58" t="inlineStr">
        <is>
          <t>ÖSTERGÖTLANDS LÄN</t>
        </is>
      </c>
      <c r="G58" t="inlineStr">
        <is>
          <t>SÖDERKÖPING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23767-2022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44721</v>
      </c>
      <c r="E59" s="1" t="n">
        <v>46221</v>
      </c>
      <c r="F59" t="inlineStr">
        <is>
          <t>ÖSTERGÖTLANDS LÄN</t>
        </is>
      </c>
      <c r="G59" t="inlineStr">
        <is>
          <t>SÖDERKÖPING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23782-2022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44722</v>
      </c>
      <c r="E60" s="1" t="n">
        <v>46221</v>
      </c>
      <c r="F60" t="inlineStr">
        <is>
          <t>ÖSTERGÖTLANDS LÄN</t>
        </is>
      </c>
      <c r="G60" t="inlineStr">
        <is>
          <t>SÖDERKÖPING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46221</v>
      </c>
      <c r="F61" t="inlineStr">
        <is>
          <t>ÖSTERGÖTLANDS LÄN</t>
        </is>
      </c>
      <c r="G61" t="inlineStr">
        <is>
          <t>SÖDERKÖPING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70793-2021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46221</v>
      </c>
      <c r="F62" t="inlineStr">
        <is>
          <t>ÖSTERGÖTLANDS LÄN</t>
        </is>
      </c>
      <c r="G62" t="inlineStr">
        <is>
          <t>SÖDERKÖPING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50619-2021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46221</v>
      </c>
      <c r="F63" t="inlineStr">
        <is>
          <t>ÖSTERGÖTLANDS LÄN</t>
        </is>
      </c>
      <c r="G63" t="inlineStr">
        <is>
          <t>SÖDERKÖPING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66356-2021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46221</v>
      </c>
      <c r="F64" t="inlineStr">
        <is>
          <t>ÖSTERGÖTLANDS LÄN</t>
        </is>
      </c>
      <c r="G64" t="inlineStr">
        <is>
          <t>SÖDERKÖPING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49230-2022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44861</v>
      </c>
      <c r="E65" s="1" t="n">
        <v>46221</v>
      </c>
      <c r="F65" t="inlineStr">
        <is>
          <t>ÖSTERGÖTLANDS LÄN</t>
        </is>
      </c>
      <c r="G65" t="inlineStr">
        <is>
          <t>SÖDERKÖPING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41300-2021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44424</v>
      </c>
      <c r="E66" s="1" t="n">
        <v>46221</v>
      </c>
      <c r="F66" t="inlineStr">
        <is>
          <t>ÖSTERGÖTLANDS LÄN</t>
        </is>
      </c>
      <c r="G66" t="inlineStr">
        <is>
          <t>SÖDERKÖPING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54961-2021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44474</v>
      </c>
      <c r="E67" s="1" t="n">
        <v>46221</v>
      </c>
      <c r="F67" t="inlineStr">
        <is>
          <t>ÖSTERGÖTLANDS LÄN</t>
        </is>
      </c>
      <c r="G67" t="inlineStr">
        <is>
          <t>SÖDERKÖPING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53891-2021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44469</v>
      </c>
      <c r="E68" s="1" t="n">
        <v>46221</v>
      </c>
      <c r="F68" t="inlineStr">
        <is>
          <t>ÖSTERGÖTLANDS LÄN</t>
        </is>
      </c>
      <c r="G68" t="inlineStr">
        <is>
          <t>SÖDERKÖPING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71426-2021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44540</v>
      </c>
      <c r="E69" s="1" t="n">
        <v>46221</v>
      </c>
      <c r="F69" t="inlineStr">
        <is>
          <t>ÖSTERGÖTLANDS LÄN</t>
        </is>
      </c>
      <c r="G69" t="inlineStr">
        <is>
          <t>SÖDERKÖPING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13802-2025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45737</v>
      </c>
      <c r="E70" s="1" t="n">
        <v>46221</v>
      </c>
      <c r="F70" t="inlineStr">
        <is>
          <t>ÖSTERGÖTLANDS LÄN</t>
        </is>
      </c>
      <c r="G70" t="inlineStr">
        <is>
          <t>SÖDERKÖPING</t>
        </is>
      </c>
      <c r="H70" t="inlineStr">
        <is>
          <t>Holmen skog AB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50050-2023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45215</v>
      </c>
      <c r="E71" s="1" t="n">
        <v>46221</v>
      </c>
      <c r="F71" t="inlineStr">
        <is>
          <t>ÖSTERGÖTLANDS LÄN</t>
        </is>
      </c>
      <c r="G71" t="inlineStr">
        <is>
          <t>SÖDERKÖPING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53777-2023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45231</v>
      </c>
      <c r="E72" s="1" t="n">
        <v>46221</v>
      </c>
      <c r="F72" t="inlineStr">
        <is>
          <t>ÖSTERGÖTLANDS LÄN</t>
        </is>
      </c>
      <c r="G72" t="inlineStr">
        <is>
          <t>SÖDERKÖPING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459-2024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45297</v>
      </c>
      <c r="E73" s="1" t="n">
        <v>46221</v>
      </c>
      <c r="F73" t="inlineStr">
        <is>
          <t>ÖSTERGÖTLANDS LÄN</t>
        </is>
      </c>
      <c r="G73" t="inlineStr">
        <is>
          <t>SÖDERKÖPING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26915-2023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45093</v>
      </c>
      <c r="E74" s="1" t="n">
        <v>46221</v>
      </c>
      <c r="F74" t="inlineStr">
        <is>
          <t>ÖSTERGÖTLANDS LÄN</t>
        </is>
      </c>
      <c r="G74" t="inlineStr">
        <is>
          <t>SÖDERKÖPING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29519-2023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45106</v>
      </c>
      <c r="E75" s="1" t="n">
        <v>46221</v>
      </c>
      <c r="F75" t="inlineStr">
        <is>
          <t>ÖSTERGÖTLANDS LÄN</t>
        </is>
      </c>
      <c r="G75" t="inlineStr">
        <is>
          <t>SÖDERKÖPING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36734-2022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44805</v>
      </c>
      <c r="E76" s="1" t="n">
        <v>46221</v>
      </c>
      <c r="F76" t="inlineStr">
        <is>
          <t>ÖSTERGÖTLANDS LÄN</t>
        </is>
      </c>
      <c r="G76" t="inlineStr">
        <is>
          <t>SÖDERKÖPING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33726-2023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45119</v>
      </c>
      <c r="E77" s="1" t="n">
        <v>46221</v>
      </c>
      <c r="F77" t="inlineStr">
        <is>
          <t>ÖSTERGÖTLANDS LÄN</t>
        </is>
      </c>
      <c r="G77" t="inlineStr">
        <is>
          <t>SÖDERKÖPING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30114-2024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45489</v>
      </c>
      <c r="E78" s="1" t="n">
        <v>46221</v>
      </c>
      <c r="F78" t="inlineStr">
        <is>
          <t>ÖSTERGÖTLANDS LÄN</t>
        </is>
      </c>
      <c r="G78" t="inlineStr">
        <is>
          <t>SÖDERKÖPING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9734-2023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46221</v>
      </c>
      <c r="F79" t="inlineStr">
        <is>
          <t>ÖSTERGÖTLANDS LÄN</t>
        </is>
      </c>
      <c r="G79" t="inlineStr">
        <is>
          <t>SÖDERKÖPING</t>
        </is>
      </c>
      <c r="H79" t="inlineStr">
        <is>
          <t>Allmännings- och besparingsskogar</t>
        </is>
      </c>
      <c r="I79" t="n">
        <v>6.7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9799-2023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44984</v>
      </c>
      <c r="E80" s="1" t="n">
        <v>46221</v>
      </c>
      <c r="F80" t="inlineStr">
        <is>
          <t>ÖSTERGÖTLANDS LÄN</t>
        </is>
      </c>
      <c r="G80" t="inlineStr">
        <is>
          <t>SÖDERKÖPING</t>
        </is>
      </c>
      <c r="H80" t="inlineStr">
        <is>
          <t>Allmännings- och besparingsskogar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64211-2023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45279</v>
      </c>
      <c r="E81" s="1" t="n">
        <v>46221</v>
      </c>
      <c r="F81" t="inlineStr">
        <is>
          <t>ÖSTERGÖTLANDS LÄN</t>
        </is>
      </c>
      <c r="G81" t="inlineStr">
        <is>
          <t>SÖDERKÖPING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41363-2023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45174</v>
      </c>
      <c r="E82" s="1" t="n">
        <v>46221</v>
      </c>
      <c r="F82" t="inlineStr">
        <is>
          <t>ÖSTERGÖTLANDS LÄN</t>
        </is>
      </c>
      <c r="G82" t="inlineStr">
        <is>
          <t>SÖDERKÖPING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10369-2024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45365</v>
      </c>
      <c r="E83" s="1" t="n">
        <v>46221</v>
      </c>
      <c r="F83" t="inlineStr">
        <is>
          <t>ÖSTERGÖTLANDS LÄN</t>
        </is>
      </c>
      <c r="G83" t="inlineStr">
        <is>
          <t>SÖDERKÖPING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8999-2023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44979</v>
      </c>
      <c r="E84" s="1" t="n">
        <v>46221</v>
      </c>
      <c r="F84" t="inlineStr">
        <is>
          <t>ÖSTERGÖTLANDS LÄN</t>
        </is>
      </c>
      <c r="G84" t="inlineStr">
        <is>
          <t>SÖDERKÖPING</t>
        </is>
      </c>
      <c r="H84" t="inlineStr">
        <is>
          <t>Allmännings- och besparingsskogar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309-2024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45295</v>
      </c>
      <c r="E85" s="1" t="n">
        <v>46221</v>
      </c>
      <c r="F85" t="inlineStr">
        <is>
          <t>ÖSTERGÖTLANDS LÄN</t>
        </is>
      </c>
      <c r="G85" t="inlineStr">
        <is>
          <t>SÖDERKÖPING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57888-2022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44900</v>
      </c>
      <c r="E86" s="1" t="n">
        <v>46221</v>
      </c>
      <c r="F86" t="inlineStr">
        <is>
          <t>ÖSTERGÖTLANDS LÄN</t>
        </is>
      </c>
      <c r="G86" t="inlineStr">
        <is>
          <t>SÖDERKÖPING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2033-2023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44939</v>
      </c>
      <c r="E87" s="1" t="n">
        <v>46221</v>
      </c>
      <c r="F87" t="inlineStr">
        <is>
          <t>ÖSTERGÖTLANDS LÄN</t>
        </is>
      </c>
      <c r="G87" t="inlineStr">
        <is>
          <t>SÖDERKÖPING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14579-2025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45742</v>
      </c>
      <c r="E88" s="1" t="n">
        <v>46221</v>
      </c>
      <c r="F88" t="inlineStr">
        <is>
          <t>ÖSTERGÖTLANDS LÄN</t>
        </is>
      </c>
      <c r="G88" t="inlineStr">
        <is>
          <t>SÖDERKÖPING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38533-2025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46221</v>
      </c>
      <c r="F89" t="inlineStr">
        <is>
          <t>ÖSTERGÖTLANDS LÄN</t>
        </is>
      </c>
      <c r="G89" t="inlineStr">
        <is>
          <t>SÖDERKÖPING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38646-2024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45546</v>
      </c>
      <c r="E90" s="1" t="n">
        <v>46221</v>
      </c>
      <c r="F90" t="inlineStr">
        <is>
          <t>ÖSTERGÖTLANDS LÄN</t>
        </is>
      </c>
      <c r="G90" t="inlineStr">
        <is>
          <t>SÖDERKÖPING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28482-2025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45817</v>
      </c>
      <c r="E91" s="1" t="n">
        <v>46221</v>
      </c>
      <c r="F91" t="inlineStr">
        <is>
          <t>ÖSTERGÖTLANDS LÄN</t>
        </is>
      </c>
      <c r="G91" t="inlineStr">
        <is>
          <t>SÖDERKÖPING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28487-2025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46221</v>
      </c>
      <c r="F92" t="inlineStr">
        <is>
          <t>ÖSTERGÖTLANDS LÄN</t>
        </is>
      </c>
      <c r="G92" t="inlineStr">
        <is>
          <t>SÖDERKÖPING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55853-2022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44888</v>
      </c>
      <c r="E93" s="1" t="n">
        <v>46221</v>
      </c>
      <c r="F93" t="inlineStr">
        <is>
          <t>ÖSTERGÖTLANDS LÄN</t>
        </is>
      </c>
      <c r="G93" t="inlineStr">
        <is>
          <t>SÖDERKÖPING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28350-2025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45818</v>
      </c>
      <c r="E94" s="1" t="n">
        <v>46221</v>
      </c>
      <c r="F94" t="inlineStr">
        <is>
          <t>ÖSTERGÖTLANDS LÄN</t>
        </is>
      </c>
      <c r="G94" t="inlineStr">
        <is>
          <t>SÖDERKÖPING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14776-2025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45742</v>
      </c>
      <c r="E95" s="1" t="n">
        <v>46221</v>
      </c>
      <c r="F95" t="inlineStr">
        <is>
          <t>ÖSTERGÖTLANDS LÄN</t>
        </is>
      </c>
      <c r="G95" t="inlineStr">
        <is>
          <t>SÖDERKÖPING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51748-2023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45222</v>
      </c>
      <c r="E96" s="1" t="n">
        <v>46221</v>
      </c>
      <c r="F96" t="inlineStr">
        <is>
          <t>ÖSTERGÖTLANDS LÄN</t>
        </is>
      </c>
      <c r="G96" t="inlineStr">
        <is>
          <t>SÖDERKÖPING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39659-2025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45890</v>
      </c>
      <c r="E97" s="1" t="n">
        <v>46221</v>
      </c>
      <c r="F97" t="inlineStr">
        <is>
          <t>ÖSTERGÖTLANDS LÄN</t>
        </is>
      </c>
      <c r="G97" t="inlineStr">
        <is>
          <t>SÖDERKÖPING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60640-2022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44911</v>
      </c>
      <c r="E98" s="1" t="n">
        <v>46221</v>
      </c>
      <c r="F98" t="inlineStr">
        <is>
          <t>ÖSTERGÖTLANDS LÄN</t>
        </is>
      </c>
      <c r="G98" t="inlineStr">
        <is>
          <t>SÖDERKÖPING</t>
        </is>
      </c>
      <c r="H98" t="inlineStr">
        <is>
          <t>Allmännings- och besparingsskogar</t>
        </is>
      </c>
      <c r="I98" t="n">
        <v>10.8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39854-2025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46221</v>
      </c>
      <c r="F99" t="inlineStr">
        <is>
          <t>ÖSTERGÖTLANDS LÄN</t>
        </is>
      </c>
      <c r="G99" t="inlineStr">
        <is>
          <t>SÖDERKÖPING</t>
        </is>
      </c>
      <c r="I99" t="n">
        <v>26.6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53315-2024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45614</v>
      </c>
      <c r="E100" s="1" t="n">
        <v>46221</v>
      </c>
      <c r="F100" t="inlineStr">
        <is>
          <t>ÖSTERGÖTLANDS LÄN</t>
        </is>
      </c>
      <c r="G100" t="inlineStr">
        <is>
          <t>SÖDERKÖPING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5412-2026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46050</v>
      </c>
      <c r="E101" s="1" t="n">
        <v>46221</v>
      </c>
      <c r="F101" t="inlineStr">
        <is>
          <t>ÖSTERGÖTLANDS LÄN</t>
        </is>
      </c>
      <c r="G101" t="inlineStr">
        <is>
          <t>SÖDERKÖPING</t>
        </is>
      </c>
      <c r="H101" t="inlineStr">
        <is>
          <t>Kyrkan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23121-2025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45791</v>
      </c>
      <c r="E102" s="1" t="n">
        <v>46221</v>
      </c>
      <c r="F102" t="inlineStr">
        <is>
          <t>ÖSTERGÖTLANDS LÄN</t>
        </is>
      </c>
      <c r="G102" t="inlineStr">
        <is>
          <t>SÖDERKÖPING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7208-2024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45344</v>
      </c>
      <c r="E103" s="1" t="n">
        <v>46221</v>
      </c>
      <c r="F103" t="inlineStr">
        <is>
          <t>ÖSTERGÖTLANDS LÄN</t>
        </is>
      </c>
      <c r="G103" t="inlineStr">
        <is>
          <t>SÖDERKÖPING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42768-2025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46221</v>
      </c>
      <c r="F104" t="inlineStr">
        <is>
          <t>ÖSTERGÖTLANDS LÄN</t>
        </is>
      </c>
      <c r="G104" t="inlineStr">
        <is>
          <t>SÖDERKÖPING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11673-2023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44994</v>
      </c>
      <c r="E105" s="1" t="n">
        <v>46221</v>
      </c>
      <c r="F105" t="inlineStr">
        <is>
          <t>ÖSTERGÖTLANDS LÄN</t>
        </is>
      </c>
      <c r="G105" t="inlineStr">
        <is>
          <t>SÖDERKÖPING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45518-2025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46221</v>
      </c>
      <c r="F106" t="inlineStr">
        <is>
          <t>ÖSTERGÖTLANDS LÄN</t>
        </is>
      </c>
      <c r="G106" t="inlineStr">
        <is>
          <t>SÖDERKÖPING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6256-2026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46055</v>
      </c>
      <c r="E107" s="1" t="n">
        <v>46221</v>
      </c>
      <c r="F107" t="inlineStr">
        <is>
          <t>ÖSTERGÖTLANDS LÄN</t>
        </is>
      </c>
      <c r="G107" t="inlineStr">
        <is>
          <t>SÖDERKÖPING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34392-2025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45846</v>
      </c>
      <c r="E108" s="1" t="n">
        <v>46221</v>
      </c>
      <c r="F108" t="inlineStr">
        <is>
          <t>ÖSTERGÖTLANDS LÄN</t>
        </is>
      </c>
      <c r="G108" t="inlineStr">
        <is>
          <t>SÖDERKÖPING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34404-2025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45846</v>
      </c>
      <c r="E109" s="1" t="n">
        <v>46221</v>
      </c>
      <c r="F109" t="inlineStr">
        <is>
          <t>ÖSTERGÖTLANDS LÄN</t>
        </is>
      </c>
      <c r="G109" t="inlineStr">
        <is>
          <t>SÖDERKÖPING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44572</v>
      </c>
      <c r="E110" s="1" t="n">
        <v>46221</v>
      </c>
      <c r="F110" t="inlineStr">
        <is>
          <t>ÖSTERGÖTLANDS LÄN</t>
        </is>
      </c>
      <c r="G110" t="inlineStr">
        <is>
          <t>SÖDERKÖPING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45648-2025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45923</v>
      </c>
      <c r="E111" s="1" t="n">
        <v>46221</v>
      </c>
      <c r="F111" t="inlineStr">
        <is>
          <t>ÖSTERGÖTLANDS LÄN</t>
        </is>
      </c>
      <c r="G111" t="inlineStr">
        <is>
          <t>SÖDERKÖPING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45774-2025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46221</v>
      </c>
      <c r="F112" t="inlineStr">
        <is>
          <t>ÖSTERGÖTLANDS LÄN</t>
        </is>
      </c>
      <c r="G112" t="inlineStr">
        <is>
          <t>SÖDERKÖPING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26432-2022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44736</v>
      </c>
      <c r="E113" s="1" t="n">
        <v>46221</v>
      </c>
      <c r="F113" t="inlineStr">
        <is>
          <t>ÖSTERGÖTLANDS LÄN</t>
        </is>
      </c>
      <c r="G113" t="inlineStr">
        <is>
          <t>SÖDERKÖPING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2951-2024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45315</v>
      </c>
      <c r="E114" s="1" t="n">
        <v>46221</v>
      </c>
      <c r="F114" t="inlineStr">
        <is>
          <t>ÖSTERGÖTLANDS LÄN</t>
        </is>
      </c>
      <c r="G114" t="inlineStr">
        <is>
          <t>SÖDERKÖPING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34969-2025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45849</v>
      </c>
      <c r="E115" s="1" t="n">
        <v>46221</v>
      </c>
      <c r="F115" t="inlineStr">
        <is>
          <t>ÖSTERGÖTLANDS LÄN</t>
        </is>
      </c>
      <c r="G115" t="inlineStr">
        <is>
          <t>SÖDERKÖPING</t>
        </is>
      </c>
      <c r="I115" t="n">
        <v>9.300000000000001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46643-2025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46221</v>
      </c>
      <c r="F116" t="inlineStr">
        <is>
          <t>ÖSTERGÖTLANDS LÄN</t>
        </is>
      </c>
      <c r="G116" t="inlineStr">
        <is>
          <t>SÖDERKÖPING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6224-2026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46055</v>
      </c>
      <c r="E117" s="1" t="n">
        <v>46221</v>
      </c>
      <c r="F117" t="inlineStr">
        <is>
          <t>ÖSTERGÖTLANDS LÄN</t>
        </is>
      </c>
      <c r="G117" t="inlineStr">
        <is>
          <t>SÖDERKÖPING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6240-2026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46055</v>
      </c>
      <c r="E118" s="1" t="n">
        <v>46221</v>
      </c>
      <c r="F118" t="inlineStr">
        <is>
          <t>ÖSTERGÖTLANDS LÄN</t>
        </is>
      </c>
      <c r="G118" t="inlineStr">
        <is>
          <t>SÖDERKÖPING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75-2024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45293</v>
      </c>
      <c r="E119" s="1" t="n">
        <v>46221</v>
      </c>
      <c r="F119" t="inlineStr">
        <is>
          <t>ÖSTERGÖTLANDS LÄN</t>
        </is>
      </c>
      <c r="G119" t="inlineStr">
        <is>
          <t>SÖDERKÖPING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6669-2026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46056</v>
      </c>
      <c r="E120" s="1" t="n">
        <v>46221</v>
      </c>
      <c r="F120" t="inlineStr">
        <is>
          <t>ÖSTERGÖTLANDS LÄN</t>
        </is>
      </c>
      <c r="G120" t="inlineStr">
        <is>
          <t>SÖDERKÖPING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34971-2025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45849</v>
      </c>
      <c r="E121" s="1" t="n">
        <v>46221</v>
      </c>
      <c r="F121" t="inlineStr">
        <is>
          <t>ÖSTERGÖTLANDS LÄN</t>
        </is>
      </c>
      <c r="G121" t="inlineStr">
        <is>
          <t>SÖDERKÖPING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13606-2025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45736</v>
      </c>
      <c r="E122" s="1" t="n">
        <v>46221</v>
      </c>
      <c r="F122" t="inlineStr">
        <is>
          <t>ÖSTERGÖTLANDS LÄN</t>
        </is>
      </c>
      <c r="G122" t="inlineStr">
        <is>
          <t>SÖDERKÖPING</t>
        </is>
      </c>
      <c r="H122" t="inlineStr">
        <is>
          <t>Holmen skog AB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46725-2025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46221</v>
      </c>
      <c r="F123" t="inlineStr">
        <is>
          <t>ÖSTERGÖTLANDS LÄN</t>
        </is>
      </c>
      <c r="G123" t="inlineStr">
        <is>
          <t>SÖDERKÖPING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46760-2025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46221</v>
      </c>
      <c r="F124" t="inlineStr">
        <is>
          <t>ÖSTERGÖTLANDS LÄN</t>
        </is>
      </c>
      <c r="G124" t="inlineStr">
        <is>
          <t>SÖDERKÖPING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46649-2025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46221</v>
      </c>
      <c r="F125" t="inlineStr">
        <is>
          <t>ÖSTERGÖTLANDS LÄN</t>
        </is>
      </c>
      <c r="G125" t="inlineStr">
        <is>
          <t>SÖDERKÖPING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46780-2025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46221</v>
      </c>
      <c r="F126" t="inlineStr">
        <is>
          <t>ÖSTERGÖTLANDS LÄN</t>
        </is>
      </c>
      <c r="G126" t="inlineStr">
        <is>
          <t>SÖDERKÖPING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46733-2025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46221</v>
      </c>
      <c r="F127" t="inlineStr">
        <is>
          <t>ÖSTERGÖTLANDS LÄN</t>
        </is>
      </c>
      <c r="G127" t="inlineStr">
        <is>
          <t>SÖDERKÖPING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46764-2025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46221</v>
      </c>
      <c r="F128" t="inlineStr">
        <is>
          <t>ÖSTERGÖTLANDS LÄN</t>
        </is>
      </c>
      <c r="G128" t="inlineStr">
        <is>
          <t>SÖDERKÖPING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4498-2023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44956</v>
      </c>
      <c r="E129" s="1" t="n">
        <v>46221</v>
      </c>
      <c r="F129" t="inlineStr">
        <is>
          <t>ÖSTERGÖTLANDS LÄN</t>
        </is>
      </c>
      <c r="G129" t="inlineStr">
        <is>
          <t>SÖDERKÖPING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47428-2024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45586</v>
      </c>
      <c r="E130" s="1" t="n">
        <v>46221</v>
      </c>
      <c r="F130" t="inlineStr">
        <is>
          <t>ÖSTERGÖTLANDS LÄN</t>
        </is>
      </c>
      <c r="G130" t="inlineStr">
        <is>
          <t>SÖDERKÖPING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5615-2023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46221</v>
      </c>
      <c r="F131" t="inlineStr">
        <is>
          <t>ÖSTERGÖTLANDS LÄN</t>
        </is>
      </c>
      <c r="G131" t="inlineStr">
        <is>
          <t>SÖDERKÖPING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6205-2026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46055</v>
      </c>
      <c r="E132" s="1" t="n">
        <v>46221</v>
      </c>
      <c r="F132" t="inlineStr">
        <is>
          <t>ÖSTERGÖTLANDS LÄN</t>
        </is>
      </c>
      <c r="G132" t="inlineStr">
        <is>
          <t>SÖDERKÖPING</t>
        </is>
      </c>
      <c r="H132" t="inlineStr">
        <is>
          <t>Kyrkan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29514-2023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45106</v>
      </c>
      <c r="E133" s="1" t="n">
        <v>46221</v>
      </c>
      <c r="F133" t="inlineStr">
        <is>
          <t>ÖSTERGÖTLANDS LÄN</t>
        </is>
      </c>
      <c r="G133" t="inlineStr">
        <is>
          <t>SÖDERKÖPING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4491-2023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44956</v>
      </c>
      <c r="E134" s="1" t="n">
        <v>46221</v>
      </c>
      <c r="F134" t="inlineStr">
        <is>
          <t>ÖSTERGÖTLANDS LÄN</t>
        </is>
      </c>
      <c r="G134" t="inlineStr">
        <is>
          <t>SÖDERKÖPING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37343-2025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45876</v>
      </c>
      <c r="E135" s="1" t="n">
        <v>46221</v>
      </c>
      <c r="F135" t="inlineStr">
        <is>
          <t>ÖSTERGÖTLANDS LÄN</t>
        </is>
      </c>
      <c r="G135" t="inlineStr">
        <is>
          <t>SÖDERKÖPING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37345-2025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45876</v>
      </c>
      <c r="E136" s="1" t="n">
        <v>46221</v>
      </c>
      <c r="F136" t="inlineStr">
        <is>
          <t>ÖSTERGÖTLANDS LÄN</t>
        </is>
      </c>
      <c r="G136" t="inlineStr">
        <is>
          <t>SÖDERKÖPING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45663</v>
      </c>
      <c r="E137" s="1" t="n">
        <v>46221</v>
      </c>
      <c r="F137" t="inlineStr">
        <is>
          <t>ÖSTERGÖTLANDS LÄN</t>
        </is>
      </c>
      <c r="G137" t="inlineStr">
        <is>
          <t>SÖDERKÖPING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7852-2026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46062</v>
      </c>
      <c r="E138" s="1" t="n">
        <v>46221</v>
      </c>
      <c r="F138" t="inlineStr">
        <is>
          <t>ÖSTERGÖTLANDS LÄN</t>
        </is>
      </c>
      <c r="G138" t="inlineStr">
        <is>
          <t>SÖDERKÖPING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26058-2022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46221</v>
      </c>
      <c r="F139" t="inlineStr">
        <is>
          <t>ÖSTERGÖTLANDS LÄN</t>
        </is>
      </c>
      <c r="G139" t="inlineStr">
        <is>
          <t>SÖDERKÖPING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37694-2023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45159</v>
      </c>
      <c r="E140" s="1" t="n">
        <v>46221</v>
      </c>
      <c r="F140" t="inlineStr">
        <is>
          <t>ÖSTERGÖTLANDS LÄN</t>
        </is>
      </c>
      <c r="G140" t="inlineStr">
        <is>
          <t>SÖDERKÖPING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7440-2026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46221</v>
      </c>
      <c r="F141" t="inlineStr">
        <is>
          <t>ÖSTERGÖTLANDS LÄN</t>
        </is>
      </c>
      <c r="G141" t="inlineStr">
        <is>
          <t>SÖDERKÖPING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7822-2026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46062</v>
      </c>
      <c r="E142" s="1" t="n">
        <v>46221</v>
      </c>
      <c r="F142" t="inlineStr">
        <is>
          <t>ÖSTERGÖTLANDS LÄN</t>
        </is>
      </c>
      <c r="G142" t="inlineStr">
        <is>
          <t>SÖDERKÖPING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7830-2026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46061</v>
      </c>
      <c r="E143" s="1" t="n">
        <v>46221</v>
      </c>
      <c r="F143" t="inlineStr">
        <is>
          <t>ÖSTERGÖTLANDS LÄN</t>
        </is>
      </c>
      <c r="G143" t="inlineStr">
        <is>
          <t>SÖDERKÖPING</t>
        </is>
      </c>
      <c r="I143" t="n">
        <v>6.1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35326-2022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44798</v>
      </c>
      <c r="E144" s="1" t="n">
        <v>46221</v>
      </c>
      <c r="F144" t="inlineStr">
        <is>
          <t>ÖSTERGÖTLANDS LÄN</t>
        </is>
      </c>
      <c r="G144" t="inlineStr">
        <is>
          <t>SÖDERKÖPING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7836-2026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46062</v>
      </c>
      <c r="E145" s="1" t="n">
        <v>46221</v>
      </c>
      <c r="F145" t="inlineStr">
        <is>
          <t>ÖSTERGÖTLANDS LÄN</t>
        </is>
      </c>
      <c r="G145" t="inlineStr">
        <is>
          <t>SÖDERKÖPING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7452-2026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46059</v>
      </c>
      <c r="E146" s="1" t="n">
        <v>46221</v>
      </c>
      <c r="F146" t="inlineStr">
        <is>
          <t>ÖSTERGÖTLANDS LÄN</t>
        </is>
      </c>
      <c r="G146" t="inlineStr">
        <is>
          <t>SÖDERKÖPING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60160-2021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44495</v>
      </c>
      <c r="E147" s="1" t="n">
        <v>46221</v>
      </c>
      <c r="F147" t="inlineStr">
        <is>
          <t>ÖSTERGÖTLANDS LÄN</t>
        </is>
      </c>
      <c r="G147" t="inlineStr">
        <is>
          <t>SÖDERKÖPING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9052-2026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46069</v>
      </c>
      <c r="E148" s="1" t="n">
        <v>46221</v>
      </c>
      <c r="F148" t="inlineStr">
        <is>
          <t>ÖSTERGÖTLANDS LÄN</t>
        </is>
      </c>
      <c r="G148" t="inlineStr">
        <is>
          <t>SÖDERKÖPING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5339-2025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45692</v>
      </c>
      <c r="E149" s="1" t="n">
        <v>46221</v>
      </c>
      <c r="F149" t="inlineStr">
        <is>
          <t>ÖSTERGÖTLANDS LÄN</t>
        </is>
      </c>
      <c r="G149" t="inlineStr">
        <is>
          <t>SÖDERKÖPING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7071-2025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45701</v>
      </c>
      <c r="E150" s="1" t="n">
        <v>46221</v>
      </c>
      <c r="F150" t="inlineStr">
        <is>
          <t>ÖSTERGÖTLANDS LÄN</t>
        </is>
      </c>
      <c r="G150" t="inlineStr">
        <is>
          <t>SÖDERKÖPING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53874-2025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46221</v>
      </c>
      <c r="F151" t="inlineStr">
        <is>
          <t>ÖSTERGÖTLANDS LÄN</t>
        </is>
      </c>
      <c r="G151" t="inlineStr">
        <is>
          <t>SÖDERKÖPING</t>
        </is>
      </c>
      <c r="I151" t="n">
        <v>9.1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16417-2025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45751</v>
      </c>
      <c r="E152" s="1" t="n">
        <v>46221</v>
      </c>
      <c r="F152" t="inlineStr">
        <is>
          <t>ÖSTERGÖTLANDS LÄN</t>
        </is>
      </c>
      <c r="G152" t="inlineStr">
        <is>
          <t>SÖDERKÖPING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44859-2023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45190</v>
      </c>
      <c r="E153" s="1" t="n">
        <v>46221</v>
      </c>
      <c r="F153" t="inlineStr">
        <is>
          <t>ÖSTERGÖTLANDS LÄN</t>
        </is>
      </c>
      <c r="G153" t="inlineStr">
        <is>
          <t>SÖDERKÖPING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4318-2023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44953</v>
      </c>
      <c r="E154" s="1" t="n">
        <v>46221</v>
      </c>
      <c r="F154" t="inlineStr">
        <is>
          <t>ÖSTERGÖTLANDS LÄN</t>
        </is>
      </c>
      <c r="G154" t="inlineStr">
        <is>
          <t>SÖDERKÖPING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11005-2026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46079</v>
      </c>
      <c r="E155" s="1" t="n">
        <v>46221</v>
      </c>
      <c r="F155" t="inlineStr">
        <is>
          <t>ÖSTERGÖTLANDS LÄN</t>
        </is>
      </c>
      <c r="G155" t="inlineStr">
        <is>
          <t>SÖDERKÖPING</t>
        </is>
      </c>
      <c r="H155" t="inlineStr">
        <is>
          <t>Kyrkan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56166-2025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46221</v>
      </c>
      <c r="F156" t="inlineStr">
        <is>
          <t>ÖSTERGÖTLANDS LÄN</t>
        </is>
      </c>
      <c r="G156" t="inlineStr">
        <is>
          <t>SÖDERKÖPING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20783-2023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45058</v>
      </c>
      <c r="E157" s="1" t="n">
        <v>46221</v>
      </c>
      <c r="F157" t="inlineStr">
        <is>
          <t>ÖSTERGÖTLANDS LÄN</t>
        </is>
      </c>
      <c r="G157" t="inlineStr">
        <is>
          <t>SÖDERKÖPING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56163-2025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45974</v>
      </c>
      <c r="E158" s="1" t="n">
        <v>46221</v>
      </c>
      <c r="F158" t="inlineStr">
        <is>
          <t>ÖSTERGÖTLANDS LÄN</t>
        </is>
      </c>
      <c r="G158" t="inlineStr">
        <is>
          <t>SÖDERKÖPING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20221-2023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45055</v>
      </c>
      <c r="E159" s="1" t="n">
        <v>46221</v>
      </c>
      <c r="F159" t="inlineStr">
        <is>
          <t>ÖSTERGÖTLANDS LÄN</t>
        </is>
      </c>
      <c r="G159" t="inlineStr">
        <is>
          <t>SÖDERKÖPING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50241-2022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44865</v>
      </c>
      <c r="E160" s="1" t="n">
        <v>46221</v>
      </c>
      <c r="F160" t="inlineStr">
        <is>
          <t>ÖSTERGÖTLANDS LÄN</t>
        </is>
      </c>
      <c r="G160" t="inlineStr">
        <is>
          <t>SÖDERKÖPING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11616-2026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46084</v>
      </c>
      <c r="E161" s="1" t="n">
        <v>46221</v>
      </c>
      <c r="F161" t="inlineStr">
        <is>
          <t>ÖSTERGÖTLANDS LÄN</t>
        </is>
      </c>
      <c r="G161" t="inlineStr">
        <is>
          <t>SÖDERKÖPING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11619-2026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46084</v>
      </c>
      <c r="E162" s="1" t="n">
        <v>46221</v>
      </c>
      <c r="F162" t="inlineStr">
        <is>
          <t>ÖSTERGÖTLANDS LÄN</t>
        </is>
      </c>
      <c r="G162" t="inlineStr">
        <is>
          <t>SÖDERKÖPING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58450-2025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46221</v>
      </c>
      <c r="F163" t="inlineStr">
        <is>
          <t>ÖSTERGÖTLANDS LÄN</t>
        </is>
      </c>
      <c r="G163" t="inlineStr">
        <is>
          <t>SÖDERKÖPING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18794-2024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45426</v>
      </c>
      <c r="E164" s="1" t="n">
        <v>46221</v>
      </c>
      <c r="F164" t="inlineStr">
        <is>
          <t>ÖSTERGÖTLANDS LÄN</t>
        </is>
      </c>
      <c r="G164" t="inlineStr">
        <is>
          <t>SÖDERKÖPING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13792-2025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45737</v>
      </c>
      <c r="E165" s="1" t="n">
        <v>46221</v>
      </c>
      <c r="F165" t="inlineStr">
        <is>
          <t>ÖSTERGÖTLANDS LÄN</t>
        </is>
      </c>
      <c r="G165" t="inlineStr">
        <is>
          <t>SÖDERKÖPING</t>
        </is>
      </c>
      <c r="H165" t="inlineStr">
        <is>
          <t>Holmen skog AB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61814-2025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46003</v>
      </c>
      <c r="E166" s="1" t="n">
        <v>46221</v>
      </c>
      <c r="F166" t="inlineStr">
        <is>
          <t>ÖSTERGÖTLANDS LÄN</t>
        </is>
      </c>
      <c r="G166" t="inlineStr">
        <is>
          <t>SÖDERKÖPING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14552-2026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46100</v>
      </c>
      <c r="E167" s="1" t="n">
        <v>46221</v>
      </c>
      <c r="F167" t="inlineStr">
        <is>
          <t>ÖSTERGÖTLANDS LÄN</t>
        </is>
      </c>
      <c r="G167" t="inlineStr">
        <is>
          <t>SÖDERKÖPING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14777-2026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46101</v>
      </c>
      <c r="E168" s="1" t="n">
        <v>46221</v>
      </c>
      <c r="F168" t="inlineStr">
        <is>
          <t>ÖSTERGÖTLANDS LÄN</t>
        </is>
      </c>
      <c r="G168" t="inlineStr">
        <is>
          <t>SÖDERKÖPING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16775-2025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45754</v>
      </c>
      <c r="E169" s="1" t="n">
        <v>46221</v>
      </c>
      <c r="F169" t="inlineStr">
        <is>
          <t>ÖSTERGÖTLANDS LÄN</t>
        </is>
      </c>
      <c r="G169" t="inlineStr">
        <is>
          <t>SÖDERKÖPING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61813-2025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46003</v>
      </c>
      <c r="E170" s="1" t="n">
        <v>46221</v>
      </c>
      <c r="F170" t="inlineStr">
        <is>
          <t>ÖSTERGÖTLANDS LÄN</t>
        </is>
      </c>
      <c r="G170" t="inlineStr">
        <is>
          <t>SÖDERKÖPING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61816-2025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46003</v>
      </c>
      <c r="E171" s="1" t="n">
        <v>46221</v>
      </c>
      <c r="F171" t="inlineStr">
        <is>
          <t>ÖSTERGÖTLANDS LÄN</t>
        </is>
      </c>
      <c r="G171" t="inlineStr">
        <is>
          <t>SÖDERKÖPING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61817-2025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46003</v>
      </c>
      <c r="E172" s="1" t="n">
        <v>46221</v>
      </c>
      <c r="F172" t="inlineStr">
        <is>
          <t>ÖSTERGÖTLANDS LÄN</t>
        </is>
      </c>
      <c r="G172" t="inlineStr">
        <is>
          <t>SÖDERKÖPING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14776-2026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46101</v>
      </c>
      <c r="E173" s="1" t="n">
        <v>46221</v>
      </c>
      <c r="F173" t="inlineStr">
        <is>
          <t>ÖSTERGÖTLANDS LÄN</t>
        </is>
      </c>
      <c r="G173" t="inlineStr">
        <is>
          <t>SÖDERKÖPING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62724-2025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46008</v>
      </c>
      <c r="E174" s="1" t="n">
        <v>46221</v>
      </c>
      <c r="F174" t="inlineStr">
        <is>
          <t>ÖSTERGÖTLANDS LÄN</t>
        </is>
      </c>
      <c r="G174" t="inlineStr">
        <is>
          <t>SÖDERKÖPING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33735-2023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46221</v>
      </c>
      <c r="F175" t="inlineStr">
        <is>
          <t>ÖSTERGÖTLANDS LÄN</t>
        </is>
      </c>
      <c r="G175" t="inlineStr">
        <is>
          <t>SÖDERKÖPING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62730-2025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46008</v>
      </c>
      <c r="E176" s="1" t="n">
        <v>46221</v>
      </c>
      <c r="F176" t="inlineStr">
        <is>
          <t>ÖSTERGÖTLANDS LÄN</t>
        </is>
      </c>
      <c r="G176" t="inlineStr">
        <is>
          <t>SÖDERKÖPING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63236-2025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46010</v>
      </c>
      <c r="E177" s="1" t="n">
        <v>46221</v>
      </c>
      <c r="F177" t="inlineStr">
        <is>
          <t>ÖSTERGÖTLANDS LÄN</t>
        </is>
      </c>
      <c r="G177" t="inlineStr">
        <is>
          <t>SÖDERKÖPING</t>
        </is>
      </c>
      <c r="H177" t="inlineStr">
        <is>
          <t>Allmännings- och besparingsskogar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66075-2021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44517</v>
      </c>
      <c r="E178" s="1" t="n">
        <v>46221</v>
      </c>
      <c r="F178" t="inlineStr">
        <is>
          <t>ÖSTERGÖTLANDS LÄN</t>
        </is>
      </c>
      <c r="G178" t="inlineStr">
        <is>
          <t>SÖDERKÖPING</t>
        </is>
      </c>
      <c r="H178" t="inlineStr">
        <is>
          <t>Kyrkan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45684</v>
      </c>
      <c r="E179" s="1" t="n">
        <v>46221</v>
      </c>
      <c r="F179" t="inlineStr">
        <is>
          <t>ÖSTERGÖTLANDS LÄN</t>
        </is>
      </c>
      <c r="G179" t="inlineStr">
        <is>
          <t>SÖDERKÖPING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6546-2023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44966</v>
      </c>
      <c r="E180" s="1" t="n">
        <v>46221</v>
      </c>
      <c r="F180" t="inlineStr">
        <is>
          <t>ÖSTERGÖTLANDS LÄN</t>
        </is>
      </c>
      <c r="G180" t="inlineStr">
        <is>
          <t>SÖDERKÖPING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47419-2024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45586</v>
      </c>
      <c r="E181" s="1" t="n">
        <v>46221</v>
      </c>
      <c r="F181" t="inlineStr">
        <is>
          <t>ÖSTERGÖTLANDS LÄN</t>
        </is>
      </c>
      <c r="G181" t="inlineStr">
        <is>
          <t>SÖDERKÖPING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22512-2024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45447</v>
      </c>
      <c r="E182" s="1" t="n">
        <v>46221</v>
      </c>
      <c r="F182" t="inlineStr">
        <is>
          <t>ÖSTERGÖTLANDS LÄN</t>
        </is>
      </c>
      <c r="G182" t="inlineStr">
        <is>
          <t>SÖDERKÖPING</t>
        </is>
      </c>
      <c r="H182" t="inlineStr">
        <is>
          <t>Kommuner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15462-2026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46106</v>
      </c>
      <c r="E183" s="1" t="n">
        <v>46221</v>
      </c>
      <c r="F183" t="inlineStr">
        <is>
          <t>ÖSTERGÖTLANDS LÄN</t>
        </is>
      </c>
      <c r="G183" t="inlineStr">
        <is>
          <t>SÖDERKÖPING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6535-2023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44966</v>
      </c>
      <c r="E184" s="1" t="n">
        <v>46221</v>
      </c>
      <c r="F184" t="inlineStr">
        <is>
          <t>ÖSTERGÖTLANDS LÄN</t>
        </is>
      </c>
      <c r="G184" t="inlineStr">
        <is>
          <t>SÖDERKÖPING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16232-2026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46111</v>
      </c>
      <c r="E185" s="1" t="n">
        <v>46221</v>
      </c>
      <c r="F185" t="inlineStr">
        <is>
          <t>ÖSTERGÖTLANDS LÄN</t>
        </is>
      </c>
      <c r="G185" t="inlineStr">
        <is>
          <t>SÖDERKÖPING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16246-2026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46111</v>
      </c>
      <c r="E186" s="1" t="n">
        <v>46221</v>
      </c>
      <c r="F186" t="inlineStr">
        <is>
          <t>ÖSTERGÖTLANDS LÄN</t>
        </is>
      </c>
      <c r="G186" t="inlineStr">
        <is>
          <t>SÖDERKÖPING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16248-2026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46221</v>
      </c>
      <c r="F187" t="inlineStr">
        <is>
          <t>ÖSTERGÖTLANDS LÄN</t>
        </is>
      </c>
      <c r="G187" t="inlineStr">
        <is>
          <t>SÖDERKÖPING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16254-2026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46111</v>
      </c>
      <c r="E188" s="1" t="n">
        <v>46221</v>
      </c>
      <c r="F188" t="inlineStr">
        <is>
          <t>ÖSTERGÖTLANDS LÄN</t>
        </is>
      </c>
      <c r="G188" t="inlineStr">
        <is>
          <t>SÖDERKÖPING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16319-2026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46221</v>
      </c>
      <c r="F189" t="inlineStr">
        <is>
          <t>ÖSTERGÖTLANDS LÄN</t>
        </is>
      </c>
      <c r="G189" t="inlineStr">
        <is>
          <t>SÖDERKÖPING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50590-2024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45601</v>
      </c>
      <c r="E190" s="1" t="n">
        <v>46221</v>
      </c>
      <c r="F190" t="inlineStr">
        <is>
          <t>ÖSTERGÖTLANDS LÄN</t>
        </is>
      </c>
      <c r="G190" t="inlineStr">
        <is>
          <t>SÖDERKÖPING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6035-2023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44964</v>
      </c>
      <c r="E191" s="1" t="n">
        <v>46221</v>
      </c>
      <c r="F191" t="inlineStr">
        <is>
          <t>ÖSTERGÖTLANDS LÄN</t>
        </is>
      </c>
      <c r="G191" t="inlineStr">
        <is>
          <t>SÖDERKÖPING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42358-2023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46221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Allmännings- och besparingsskogar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1614-2023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44937</v>
      </c>
      <c r="E193" s="1" t="n">
        <v>46221</v>
      </c>
      <c r="F193" t="inlineStr">
        <is>
          <t>ÖSTERGÖTLANDS LÄN</t>
        </is>
      </c>
      <c r="G193" t="inlineStr">
        <is>
          <t>SÖDERKÖPING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41245-2023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45174</v>
      </c>
      <c r="E194" s="1" t="n">
        <v>46221</v>
      </c>
      <c r="F194" t="inlineStr">
        <is>
          <t>ÖSTERGÖTLANDS LÄN</t>
        </is>
      </c>
      <c r="G194" t="inlineStr">
        <is>
          <t>SÖDERKÖPING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15034-2024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45399</v>
      </c>
      <c r="E195" s="1" t="n">
        <v>46221</v>
      </c>
      <c r="F195" t="inlineStr">
        <is>
          <t>ÖSTERGÖTLANDS LÄN</t>
        </is>
      </c>
      <c r="G195" t="inlineStr">
        <is>
          <t>SÖDERKÖPING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12708-2024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45379</v>
      </c>
      <c r="E196" s="1" t="n">
        <v>46221</v>
      </c>
      <c r="F196" t="inlineStr">
        <is>
          <t>ÖSTERGÖTLANDS LÄN</t>
        </is>
      </c>
      <c r="G196" t="inlineStr">
        <is>
          <t>SÖDERKÖPING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46742-2025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46221</v>
      </c>
      <c r="F197" t="inlineStr">
        <is>
          <t>ÖSTERGÖTLANDS LÄN</t>
        </is>
      </c>
      <c r="G197" t="inlineStr">
        <is>
          <t>SÖDERKÖPING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46781-2025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46221</v>
      </c>
      <c r="F198" t="inlineStr">
        <is>
          <t>ÖSTERGÖTLANDS LÄN</t>
        </is>
      </c>
      <c r="G198" t="inlineStr">
        <is>
          <t>SÖDERKÖPING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19974-2026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46221</v>
      </c>
      <c r="F199" t="inlineStr">
        <is>
          <t>ÖSTERGÖTLANDS LÄN</t>
        </is>
      </c>
      <c r="G199" t="inlineStr">
        <is>
          <t>SÖDERKÖPING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13055-2025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45734</v>
      </c>
      <c r="E200" s="1" t="n">
        <v>46221</v>
      </c>
      <c r="F200" t="inlineStr">
        <is>
          <t>ÖSTERGÖTLANDS LÄN</t>
        </is>
      </c>
      <c r="G200" t="inlineStr">
        <is>
          <t>SÖDERKÖPING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19661-2026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46134</v>
      </c>
      <c r="E201" s="1" t="n">
        <v>46221</v>
      </c>
      <c r="F201" t="inlineStr">
        <is>
          <t>ÖSTERGÖTLANDS LÄN</t>
        </is>
      </c>
      <c r="G201" t="inlineStr">
        <is>
          <t>SÖDERKÖPING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17357-2025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45756</v>
      </c>
      <c r="E202" s="1" t="n">
        <v>46221</v>
      </c>
      <c r="F202" t="inlineStr">
        <is>
          <t>ÖSTERGÖTLANDS LÄN</t>
        </is>
      </c>
      <c r="G202" t="inlineStr">
        <is>
          <t>SÖDERKÖPING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49569-2022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44862</v>
      </c>
      <c r="E203" s="1" t="n">
        <v>46221</v>
      </c>
      <c r="F203" t="inlineStr">
        <is>
          <t>ÖSTERGÖTLANDS LÄN</t>
        </is>
      </c>
      <c r="G203" t="inlineStr">
        <is>
          <t>SÖDERKÖPING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47368-2021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44447</v>
      </c>
      <c r="E204" s="1" t="n">
        <v>46221</v>
      </c>
      <c r="F204" t="inlineStr">
        <is>
          <t>ÖSTERGÖTLANDS LÄN</t>
        </is>
      </c>
      <c r="G204" t="inlineStr">
        <is>
          <t>SÖDERKÖPING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32641-2025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46221</v>
      </c>
      <c r="F205" t="inlineStr">
        <is>
          <t>ÖSTERGÖTLANDS LÄN</t>
        </is>
      </c>
      <c r="G205" t="inlineStr">
        <is>
          <t>SÖDERKÖPING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38595-2022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44813</v>
      </c>
      <c r="E206" s="1" t="n">
        <v>46221</v>
      </c>
      <c r="F206" t="inlineStr">
        <is>
          <t>ÖSTERGÖTLANDS LÄN</t>
        </is>
      </c>
      <c r="G206" t="inlineStr">
        <is>
          <t>SÖDERKÖPING</t>
        </is>
      </c>
      <c r="H206" t="inlineStr">
        <is>
          <t>Holmen skog AB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45044-2023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45191</v>
      </c>
      <c r="E207" s="1" t="n">
        <v>46221</v>
      </c>
      <c r="F207" t="inlineStr">
        <is>
          <t>ÖSTERGÖTLANDS LÄN</t>
        </is>
      </c>
      <c r="G207" t="inlineStr">
        <is>
          <t>SÖDERKÖPING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13865-2025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46221</v>
      </c>
      <c r="F208" t="inlineStr">
        <is>
          <t>ÖSTERGÖTLANDS LÄN</t>
        </is>
      </c>
      <c r="G208" t="inlineStr">
        <is>
          <t>SÖDERKÖPING</t>
        </is>
      </c>
      <c r="H208" t="inlineStr">
        <is>
          <t>Holmen skog AB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13889-2025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45737</v>
      </c>
      <c r="E209" s="1" t="n">
        <v>46221</v>
      </c>
      <c r="F209" t="inlineStr">
        <is>
          <t>ÖSTERGÖTLANDS LÄN</t>
        </is>
      </c>
      <c r="G209" t="inlineStr">
        <is>
          <t>SÖDERKÖPING</t>
        </is>
      </c>
      <c r="H209" t="inlineStr">
        <is>
          <t>Holmen skog AB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13920-2025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45737</v>
      </c>
      <c r="E210" s="1" t="n">
        <v>46221</v>
      </c>
      <c r="F210" t="inlineStr">
        <is>
          <t>ÖSTERGÖTLANDS LÄN</t>
        </is>
      </c>
      <c r="G210" t="inlineStr">
        <is>
          <t>SÖDERKÖPING</t>
        </is>
      </c>
      <c r="H210" t="inlineStr">
        <is>
          <t>Holmen skog AB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50588-2024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45601</v>
      </c>
      <c r="E211" s="1" t="n">
        <v>46221</v>
      </c>
      <c r="F211" t="inlineStr">
        <is>
          <t>ÖSTERGÖTLANDS LÄN</t>
        </is>
      </c>
      <c r="G211" t="inlineStr">
        <is>
          <t>SÖDERKÖPING</t>
        </is>
      </c>
      <c r="H211" t="inlineStr">
        <is>
          <t>Allmännings- och besparingsskogar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37692-2023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45159</v>
      </c>
      <c r="E212" s="1" t="n">
        <v>46221</v>
      </c>
      <c r="F212" t="inlineStr">
        <is>
          <t>ÖSTERGÖTLANDS LÄN</t>
        </is>
      </c>
      <c r="G212" t="inlineStr">
        <is>
          <t>SÖDERKÖPING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42753-2023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46221</v>
      </c>
      <c r="F213" t="inlineStr">
        <is>
          <t>ÖSTERGÖTLANDS LÄN</t>
        </is>
      </c>
      <c r="G213" t="inlineStr">
        <is>
          <t>SÖDERKÖPING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27464-2023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45097</v>
      </c>
      <c r="E214" s="1" t="n">
        <v>46221</v>
      </c>
      <c r="F214" t="inlineStr">
        <is>
          <t>ÖSTERGÖTLANDS LÄN</t>
        </is>
      </c>
      <c r="G214" t="inlineStr">
        <is>
          <t>SÖDERKÖPING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1399-2025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45667</v>
      </c>
      <c r="E215" s="1" t="n">
        <v>46221</v>
      </c>
      <c r="F215" t="inlineStr">
        <is>
          <t>ÖSTERGÖTLANDS LÄN</t>
        </is>
      </c>
      <c r="G215" t="inlineStr">
        <is>
          <t>SÖDERKÖPING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21416-2025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45782</v>
      </c>
      <c r="E216" s="1" t="n">
        <v>46221</v>
      </c>
      <c r="F216" t="inlineStr">
        <is>
          <t>ÖSTERGÖTLANDS LÄN</t>
        </is>
      </c>
      <c r="G216" t="inlineStr">
        <is>
          <t>SÖDERKÖPING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20258-2026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46139</v>
      </c>
      <c r="E217" s="1" t="n">
        <v>46221</v>
      </c>
      <c r="F217" t="inlineStr">
        <is>
          <t>ÖSTERGÖTLANDS LÄN</t>
        </is>
      </c>
      <c r="G217" t="inlineStr">
        <is>
          <t>SÖDERKÖPING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26912-2023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46221</v>
      </c>
      <c r="F218" t="inlineStr">
        <is>
          <t>ÖSTERGÖTLANDS LÄN</t>
        </is>
      </c>
      <c r="G218" t="inlineStr">
        <is>
          <t>SÖDERKÖPING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20262-2026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46139</v>
      </c>
      <c r="E219" s="1" t="n">
        <v>46221</v>
      </c>
      <c r="F219" t="inlineStr">
        <is>
          <t>ÖSTERGÖTLANDS LÄN</t>
        </is>
      </c>
      <c r="G219" t="inlineStr">
        <is>
          <t>SÖDERKÖPING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20254-2023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45055</v>
      </c>
      <c r="E220" s="1" t="n">
        <v>46221</v>
      </c>
      <c r="F220" t="inlineStr">
        <is>
          <t>ÖSTERGÖTLANDS LÄN</t>
        </is>
      </c>
      <c r="G220" t="inlineStr">
        <is>
          <t>SÖDERKÖPING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26594-2023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45092</v>
      </c>
      <c r="E221" s="1" t="n">
        <v>46221</v>
      </c>
      <c r="F221" t="inlineStr">
        <is>
          <t>ÖSTERGÖTLANDS LÄN</t>
        </is>
      </c>
      <c r="G221" t="inlineStr">
        <is>
          <t>SÖDERKÖPING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3913-2025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45684</v>
      </c>
      <c r="E222" s="1" t="n">
        <v>46221</v>
      </c>
      <c r="F222" t="inlineStr">
        <is>
          <t>ÖSTERGÖTLANDS LÄN</t>
        </is>
      </c>
      <c r="G222" t="inlineStr">
        <is>
          <t>SÖDERKÖPING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50040-2023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46221</v>
      </c>
      <c r="F223" t="inlineStr">
        <is>
          <t>ÖSTERGÖTLANDS LÄN</t>
        </is>
      </c>
      <c r="G223" t="inlineStr">
        <is>
          <t>SÖDERKÖPING</t>
        </is>
      </c>
      <c r="H223" t="inlineStr">
        <is>
          <t>Kyrkan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33736-2023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45119</v>
      </c>
      <c r="E224" s="1" t="n">
        <v>46221</v>
      </c>
      <c r="F224" t="inlineStr">
        <is>
          <t>ÖSTERGÖTLANDS LÄN</t>
        </is>
      </c>
      <c r="G224" t="inlineStr">
        <is>
          <t>SÖDERKÖPING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20265-2026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46139</v>
      </c>
      <c r="E225" s="1" t="n">
        <v>46221</v>
      </c>
      <c r="F225" t="inlineStr">
        <is>
          <t>ÖSTERGÖTLANDS LÄN</t>
        </is>
      </c>
      <c r="G225" t="inlineStr">
        <is>
          <t>SÖDERKÖPING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44834-2023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45190</v>
      </c>
      <c r="E226" s="1" t="n">
        <v>46221</v>
      </c>
      <c r="F226" t="inlineStr">
        <is>
          <t>ÖSTERGÖTLANDS LÄN</t>
        </is>
      </c>
      <c r="G226" t="inlineStr">
        <is>
          <t>SÖDERKÖPING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5072-2022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44593</v>
      </c>
      <c r="E227" s="1" t="n">
        <v>46221</v>
      </c>
      <c r="F227" t="inlineStr">
        <is>
          <t>ÖSTERGÖTLANDS LÄN</t>
        </is>
      </c>
      <c r="G227" t="inlineStr">
        <is>
          <t>SÖDERKÖPING</t>
        </is>
      </c>
      <c r="I227" t="n">
        <v>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7062-2025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45701</v>
      </c>
      <c r="E228" s="1" t="n">
        <v>46221</v>
      </c>
      <c r="F228" t="inlineStr">
        <is>
          <t>ÖSTERGÖTLANDS LÄN</t>
        </is>
      </c>
      <c r="G228" t="inlineStr">
        <is>
          <t>SÖDERKÖPING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9746-2022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44618</v>
      </c>
      <c r="E229" s="1" t="n">
        <v>46221</v>
      </c>
      <c r="F229" t="inlineStr">
        <is>
          <t>ÖSTERGÖTLANDS LÄN</t>
        </is>
      </c>
      <c r="G229" t="inlineStr">
        <is>
          <t>SÖDERKÖPING</t>
        </is>
      </c>
      <c r="I229" t="n">
        <v>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21901-2022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44711</v>
      </c>
      <c r="E230" s="1" t="n">
        <v>46221</v>
      </c>
      <c r="F230" t="inlineStr">
        <is>
          <t>ÖSTERGÖTLANDS LÄN</t>
        </is>
      </c>
      <c r="G230" t="inlineStr">
        <is>
          <t>SÖDERKÖPING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49367-2023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45211</v>
      </c>
      <c r="E231" s="1" t="n">
        <v>46221</v>
      </c>
      <c r="F231" t="inlineStr">
        <is>
          <t>ÖSTERGÖTLANDS LÄN</t>
        </is>
      </c>
      <c r="G231" t="inlineStr">
        <is>
          <t>SÖDERKÖPING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20301-2026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46139</v>
      </c>
      <c r="E232" s="1" t="n">
        <v>46221</v>
      </c>
      <c r="F232" t="inlineStr">
        <is>
          <t>ÖSTERGÖTLANDS LÄN</t>
        </is>
      </c>
      <c r="G232" t="inlineStr">
        <is>
          <t>SÖDERKÖPING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20250-2026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46139</v>
      </c>
      <c r="E233" s="1" t="n">
        <v>46221</v>
      </c>
      <c r="F233" t="inlineStr">
        <is>
          <t>ÖSTERGÖTLANDS LÄN</t>
        </is>
      </c>
      <c r="G233" t="inlineStr">
        <is>
          <t>SÖDERKÖPING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46417-2023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45197</v>
      </c>
      <c r="E234" s="1" t="n">
        <v>46221</v>
      </c>
      <c r="F234" t="inlineStr">
        <is>
          <t>ÖSTERGÖTLANDS LÄN</t>
        </is>
      </c>
      <c r="G234" t="inlineStr">
        <is>
          <t>SÖDERKÖPING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3919-2025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45684</v>
      </c>
      <c r="E235" s="1" t="n">
        <v>46221</v>
      </c>
      <c r="F235" t="inlineStr">
        <is>
          <t>ÖSTERGÖTLANDS LÄN</t>
        </is>
      </c>
      <c r="G235" t="inlineStr">
        <is>
          <t>SÖDERKÖPING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41958-2023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45174</v>
      </c>
      <c r="E236" s="1" t="n">
        <v>46221</v>
      </c>
      <c r="F236" t="inlineStr">
        <is>
          <t>ÖSTERGÖTLANDS LÄN</t>
        </is>
      </c>
      <c r="G236" t="inlineStr">
        <is>
          <t>SÖDERKÖPING</t>
        </is>
      </c>
      <c r="I236" t="n">
        <v>15.3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20684-2026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46141</v>
      </c>
      <c r="E237" s="1" t="n">
        <v>46221</v>
      </c>
      <c r="F237" t="inlineStr">
        <is>
          <t>ÖSTERGÖTLANDS LÄN</t>
        </is>
      </c>
      <c r="G237" t="inlineStr">
        <is>
          <t>SÖDERKÖPING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26554-2026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46183</v>
      </c>
      <c r="E238" s="1" t="n">
        <v>46221</v>
      </c>
      <c r="F238" t="inlineStr">
        <is>
          <t>ÖSTERGÖTLANDS LÄN</t>
        </is>
      </c>
      <c r="G238" t="inlineStr">
        <is>
          <t>SÖDERKÖPING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26576-2026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46221</v>
      </c>
      <c r="F239" t="inlineStr">
        <is>
          <t>ÖSTERGÖTLANDS LÄN</t>
        </is>
      </c>
      <c r="G239" t="inlineStr">
        <is>
          <t>SÖDERKÖPING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26582-2026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46221</v>
      </c>
      <c r="F240" t="inlineStr">
        <is>
          <t>ÖSTERGÖTLANDS LÄN</t>
        </is>
      </c>
      <c r="G240" t="inlineStr">
        <is>
          <t>SÖDERKÖPING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26595-2026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46183</v>
      </c>
      <c r="E241" s="1" t="n">
        <v>46221</v>
      </c>
      <c r="F241" t="inlineStr">
        <is>
          <t>ÖSTERGÖTLANDS LÄN</t>
        </is>
      </c>
      <c r="G241" t="inlineStr">
        <is>
          <t>SÖDERKÖPING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20703-2026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46141</v>
      </c>
      <c r="E242" s="1" t="n">
        <v>46221</v>
      </c>
      <c r="F242" t="inlineStr">
        <is>
          <t>ÖSTERGÖTLANDS LÄN</t>
        </is>
      </c>
      <c r="G242" t="inlineStr">
        <is>
          <t>SÖDERKÖPING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20705-2026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46141</v>
      </c>
      <c r="E243" s="1" t="n">
        <v>46221</v>
      </c>
      <c r="F243" t="inlineStr">
        <is>
          <t>ÖSTERGÖTLANDS LÄN</t>
        </is>
      </c>
      <c r="G243" t="inlineStr">
        <is>
          <t>SÖDERKÖPING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55772-2023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45239</v>
      </c>
      <c r="E244" s="1" t="n">
        <v>46221</v>
      </c>
      <c r="F244" t="inlineStr">
        <is>
          <t>ÖSTERGÖTLANDS LÄN</t>
        </is>
      </c>
      <c r="G244" t="inlineStr">
        <is>
          <t>SÖDERKÖPING</t>
        </is>
      </c>
      <c r="H244" t="inlineStr">
        <is>
          <t>Holmen skog AB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26439-2026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46183</v>
      </c>
      <c r="E245" s="1" t="n">
        <v>46221</v>
      </c>
      <c r="F245" t="inlineStr">
        <is>
          <t>ÖSTERGÖTLANDS LÄN</t>
        </is>
      </c>
      <c r="G245" t="inlineStr">
        <is>
          <t>SÖDERKÖPING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58372-2023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45250</v>
      </c>
      <c r="E246" s="1" t="n">
        <v>46221</v>
      </c>
      <c r="F246" t="inlineStr">
        <is>
          <t>ÖSTERGÖTLANDS LÄN</t>
        </is>
      </c>
      <c r="G246" t="inlineStr">
        <is>
          <t>SÖDERKÖPING</t>
        </is>
      </c>
      <c r="H246" t="inlineStr">
        <is>
          <t>Holmen skog AB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58398-2023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45250</v>
      </c>
      <c r="E247" s="1" t="n">
        <v>46221</v>
      </c>
      <c r="F247" t="inlineStr">
        <is>
          <t>ÖSTERGÖTLANDS LÄN</t>
        </is>
      </c>
      <c r="G247" t="inlineStr">
        <is>
          <t>SÖDERKÖPING</t>
        </is>
      </c>
      <c r="H247" t="inlineStr">
        <is>
          <t>Holmen skog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43891-2023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45187</v>
      </c>
      <c r="E248" s="1" t="n">
        <v>46221</v>
      </c>
      <c r="F248" t="inlineStr">
        <is>
          <t>ÖSTERGÖTLANDS LÄN</t>
        </is>
      </c>
      <c r="G248" t="inlineStr">
        <is>
          <t>SÖDERKÖPING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20688-2026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46141</v>
      </c>
      <c r="E249" s="1" t="n">
        <v>46221</v>
      </c>
      <c r="F249" t="inlineStr">
        <is>
          <t>ÖSTERGÖTLANDS LÄN</t>
        </is>
      </c>
      <c r="G249" t="inlineStr">
        <is>
          <t>SÖDERKÖPING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40357-2023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45169</v>
      </c>
      <c r="E250" s="1" t="n">
        <v>46221</v>
      </c>
      <c r="F250" t="inlineStr">
        <is>
          <t>ÖSTERGÖTLANDS LÄN</t>
        </is>
      </c>
      <c r="G250" t="inlineStr">
        <is>
          <t>SÖDERKÖPING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34979-2025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45849</v>
      </c>
      <c r="E251" s="1" t="n">
        <v>46221</v>
      </c>
      <c r="F251" t="inlineStr">
        <is>
          <t>ÖSTERGÖTLANDS LÄN</t>
        </is>
      </c>
      <c r="G251" t="inlineStr">
        <is>
          <t>SÖDERKÖPING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26573-2026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46183</v>
      </c>
      <c r="E252" s="1" t="n">
        <v>46221</v>
      </c>
      <c r="F252" t="inlineStr">
        <is>
          <t>ÖSTERGÖTLANDS LÄN</t>
        </is>
      </c>
      <c r="G252" t="inlineStr">
        <is>
          <t>SÖDERKÖPING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26550-2026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46221</v>
      </c>
      <c r="F253" t="inlineStr">
        <is>
          <t>ÖSTERGÖTLANDS LÄN</t>
        </is>
      </c>
      <c r="G253" t="inlineStr">
        <is>
          <t>SÖDERKÖPING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37684-2023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45159</v>
      </c>
      <c r="E254" s="1" t="n">
        <v>46221</v>
      </c>
      <c r="F254" t="inlineStr">
        <is>
          <t>ÖSTERGÖTLANDS LÄN</t>
        </is>
      </c>
      <c r="G254" t="inlineStr">
        <is>
          <t>SÖDERKÖPING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37687-2023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46221</v>
      </c>
      <c r="F255" t="inlineStr">
        <is>
          <t>ÖSTERGÖTLANDS LÄN</t>
        </is>
      </c>
      <c r="G255" t="inlineStr">
        <is>
          <t>SÖDERKÖPING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29660-2022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44754</v>
      </c>
      <c r="E256" s="1" t="n">
        <v>46221</v>
      </c>
      <c r="F256" t="inlineStr">
        <is>
          <t>ÖSTERGÖTLANDS LÄN</t>
        </is>
      </c>
      <c r="G256" t="inlineStr">
        <is>
          <t>SÖDERKÖPING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458-2024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45297</v>
      </c>
      <c r="E257" s="1" t="n">
        <v>46221</v>
      </c>
      <c r="F257" t="inlineStr">
        <is>
          <t>ÖSTERGÖTLANDS LÄN</t>
        </is>
      </c>
      <c r="G257" t="inlineStr">
        <is>
          <t>SÖDERKÖPING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59471-2023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45254</v>
      </c>
      <c r="E258" s="1" t="n">
        <v>46221</v>
      </c>
      <c r="F258" t="inlineStr">
        <is>
          <t>ÖSTERGÖTLANDS LÄN</t>
        </is>
      </c>
      <c r="G258" t="inlineStr">
        <is>
          <t>SÖDERKÖPING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61514-2023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45265</v>
      </c>
      <c r="E259" s="1" t="n">
        <v>46221</v>
      </c>
      <c r="F259" t="inlineStr">
        <is>
          <t>ÖSTERGÖTLANDS LÄN</t>
        </is>
      </c>
      <c r="G259" t="inlineStr">
        <is>
          <t>SÖDERKÖPING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21903-2026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46150</v>
      </c>
      <c r="E260" s="1" t="n">
        <v>46221</v>
      </c>
      <c r="F260" t="inlineStr">
        <is>
          <t>ÖSTERGÖTLANDS LÄN</t>
        </is>
      </c>
      <c r="G260" t="inlineStr">
        <is>
          <t>SÖDERKÖPING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13625-2025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45736</v>
      </c>
      <c r="E261" s="1" t="n">
        <v>46221</v>
      </c>
      <c r="F261" t="inlineStr">
        <is>
          <t>ÖSTERGÖTLANDS LÄN</t>
        </is>
      </c>
      <c r="G261" t="inlineStr">
        <is>
          <t>SÖDERKÖPING</t>
        </is>
      </c>
      <c r="H261" t="inlineStr">
        <is>
          <t>Holmen skog AB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21898-2026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46150</v>
      </c>
      <c r="E262" s="1" t="n">
        <v>46221</v>
      </c>
      <c r="F262" t="inlineStr">
        <is>
          <t>ÖSTERGÖTLANDS LÄN</t>
        </is>
      </c>
      <c r="G262" t="inlineStr">
        <is>
          <t>SÖDERKÖPING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54787-2022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46221</v>
      </c>
      <c r="F263" t="inlineStr">
        <is>
          <t>ÖSTERGÖTLANDS LÄN</t>
        </is>
      </c>
      <c r="G263" t="inlineStr">
        <is>
          <t>SÖDERKÖPING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21893-2026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46150</v>
      </c>
      <c r="E264" s="1" t="n">
        <v>46221</v>
      </c>
      <c r="F264" t="inlineStr">
        <is>
          <t>ÖSTERGÖTLANDS LÄN</t>
        </is>
      </c>
      <c r="G264" t="inlineStr">
        <is>
          <t>SÖDERKÖPING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43889-2023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45187</v>
      </c>
      <c r="E265" s="1" t="n">
        <v>46221</v>
      </c>
      <c r="F265" t="inlineStr">
        <is>
          <t>ÖSTERGÖTLANDS LÄN</t>
        </is>
      </c>
      <c r="G265" t="inlineStr">
        <is>
          <t>SÖDERKÖPING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31628-2022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44775</v>
      </c>
      <c r="E266" s="1" t="n">
        <v>46221</v>
      </c>
      <c r="F266" t="inlineStr">
        <is>
          <t>ÖSTERGÖTLANDS LÄN</t>
        </is>
      </c>
      <c r="G266" t="inlineStr">
        <is>
          <t>SÖDERKÖPING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46422-2023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45197</v>
      </c>
      <c r="E267" s="1" t="n">
        <v>46221</v>
      </c>
      <c r="F267" t="inlineStr">
        <is>
          <t>ÖSTERGÖTLANDS LÄN</t>
        </is>
      </c>
      <c r="G267" t="inlineStr">
        <is>
          <t>SÖDERKÖPING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45549-2023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45194</v>
      </c>
      <c r="E268" s="1" t="n">
        <v>46221</v>
      </c>
      <c r="F268" t="inlineStr">
        <is>
          <t>ÖSTERGÖTLANDS LÄN</t>
        </is>
      </c>
      <c r="G268" t="inlineStr">
        <is>
          <t>SÖDERKÖPING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6419-2023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44965</v>
      </c>
      <c r="E269" s="1" t="n">
        <v>46221</v>
      </c>
      <c r="F269" t="inlineStr">
        <is>
          <t>ÖSTERGÖTLANDS LÄN</t>
        </is>
      </c>
      <c r="G269" t="inlineStr">
        <is>
          <t>SÖDERKÖPING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50873-2023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45218</v>
      </c>
      <c r="E270" s="1" t="n">
        <v>46221</v>
      </c>
      <c r="F270" t="inlineStr">
        <is>
          <t>ÖSTERGÖTLANDS LÄN</t>
        </is>
      </c>
      <c r="G270" t="inlineStr">
        <is>
          <t>SÖDERKÖPING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28383-2026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46196</v>
      </c>
      <c r="E271" s="1" t="n">
        <v>46221</v>
      </c>
      <c r="F271" t="inlineStr">
        <is>
          <t>ÖSTERGÖTLANDS LÄN</t>
        </is>
      </c>
      <c r="G271" t="inlineStr">
        <is>
          <t>SÖDERKÖPING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69425-2021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44531</v>
      </c>
      <c r="E272" s="1" t="n">
        <v>46221</v>
      </c>
      <c r="F272" t="inlineStr">
        <is>
          <t>ÖSTERGÖTLANDS LÄN</t>
        </is>
      </c>
      <c r="G272" t="inlineStr">
        <is>
          <t>SÖDERKÖPING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22482-2026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46155</v>
      </c>
      <c r="E273" s="1" t="n">
        <v>46221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Kommuner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64825-2023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45282</v>
      </c>
      <c r="E274" s="1" t="n">
        <v>46221</v>
      </c>
      <c r="F274" t="inlineStr">
        <is>
          <t>ÖSTERGÖTLANDS LÄN</t>
        </is>
      </c>
      <c r="G274" t="inlineStr">
        <is>
          <t>SÖDERKÖPING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22471-2026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46155</v>
      </c>
      <c r="E275" s="1" t="n">
        <v>46221</v>
      </c>
      <c r="F275" t="inlineStr">
        <is>
          <t>ÖSTERGÖTLANDS LÄN</t>
        </is>
      </c>
      <c r="G275" t="inlineStr">
        <is>
          <t>SÖDERKÖPING</t>
        </is>
      </c>
      <c r="H275" t="inlineStr">
        <is>
          <t>Kommuner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45457-2023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45194</v>
      </c>
      <c r="E276" s="1" t="n">
        <v>46221</v>
      </c>
      <c r="F276" t="inlineStr">
        <is>
          <t>ÖSTERGÖTLANDS LÄN</t>
        </is>
      </c>
      <c r="G276" t="inlineStr">
        <is>
          <t>SÖDERKÖPING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3786-2023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44951</v>
      </c>
      <c r="E277" s="1" t="n">
        <v>46221</v>
      </c>
      <c r="F277" t="inlineStr">
        <is>
          <t>ÖSTERGÖTLANDS LÄN</t>
        </is>
      </c>
      <c r="G277" t="inlineStr">
        <is>
          <t>SÖDERKÖPING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50051-2023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45215</v>
      </c>
      <c r="E278" s="1" t="n">
        <v>46221</v>
      </c>
      <c r="F278" t="inlineStr">
        <is>
          <t>ÖSTERGÖTLANDS LÄN</t>
        </is>
      </c>
      <c r="G278" t="inlineStr">
        <is>
          <t>SÖDERKÖPING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66362-2021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44518</v>
      </c>
      <c r="E279" s="1" t="n">
        <v>46221</v>
      </c>
      <c r="F279" t="inlineStr">
        <is>
          <t>ÖSTERGÖTLANDS LÄN</t>
        </is>
      </c>
      <c r="G279" t="inlineStr">
        <is>
          <t>SÖDERKÖPING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56213-2022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44890</v>
      </c>
      <c r="E280" s="1" t="n">
        <v>46221</v>
      </c>
      <c r="F280" t="inlineStr">
        <is>
          <t>ÖSTERGÖTLANDS LÄN</t>
        </is>
      </c>
      <c r="G280" t="inlineStr">
        <is>
          <t>SÖDERKÖPING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48395-2021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44452</v>
      </c>
      <c r="E281" s="1" t="n">
        <v>46221</v>
      </c>
      <c r="F281" t="inlineStr">
        <is>
          <t>ÖSTERGÖTLANDS LÄN</t>
        </is>
      </c>
      <c r="G281" t="inlineStr">
        <is>
          <t>SÖDERKÖPING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42355-2023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45180</v>
      </c>
      <c r="E282" s="1" t="n">
        <v>46221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Allmännings- och besparingsskogar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9002-2023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44979</v>
      </c>
      <c r="E283" s="1" t="n">
        <v>46221</v>
      </c>
      <c r="F283" t="inlineStr">
        <is>
          <t>ÖSTERGÖTLANDS LÄN</t>
        </is>
      </c>
      <c r="G283" t="inlineStr">
        <is>
          <t>SÖDERKÖPING</t>
        </is>
      </c>
      <c r="H283" t="inlineStr">
        <is>
          <t>Allmännings- och besparingsskogar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23120-2026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46161</v>
      </c>
      <c r="E284" s="1" t="n">
        <v>46221</v>
      </c>
      <c r="F284" t="inlineStr">
        <is>
          <t>ÖSTERGÖTLANDS LÄN</t>
        </is>
      </c>
      <c r="G284" t="inlineStr">
        <is>
          <t>SÖDERKÖPING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29374-2022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44753</v>
      </c>
      <c r="E285" s="1" t="n">
        <v>46221</v>
      </c>
      <c r="F285" t="inlineStr">
        <is>
          <t>ÖSTERGÖTLANDS LÄN</t>
        </is>
      </c>
      <c r="G285" t="inlineStr">
        <is>
          <t>SÖDERKÖPING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49227-2022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44861</v>
      </c>
      <c r="E286" s="1" t="n">
        <v>46221</v>
      </c>
      <c r="F286" t="inlineStr">
        <is>
          <t>ÖSTERGÖTLANDS LÄN</t>
        </is>
      </c>
      <c r="G286" t="inlineStr">
        <is>
          <t>SÖDERKÖPING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20967-2023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45061</v>
      </c>
      <c r="E287" s="1" t="n">
        <v>46221</v>
      </c>
      <c r="F287" t="inlineStr">
        <is>
          <t>ÖSTERGÖTLANDS LÄN</t>
        </is>
      </c>
      <c r="G287" t="inlineStr">
        <is>
          <t>SÖDERKÖPING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8799-2023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44978</v>
      </c>
      <c r="E288" s="1" t="n">
        <v>46221</v>
      </c>
      <c r="F288" t="inlineStr">
        <is>
          <t>ÖSTERGÖTLANDS LÄN</t>
        </is>
      </c>
      <c r="G288" t="inlineStr">
        <is>
          <t>SÖDERKÖPING</t>
        </is>
      </c>
      <c r="H288" t="inlineStr">
        <is>
          <t>Allmännings- och besparingsskogar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30247-2026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46221</v>
      </c>
      <c r="F289" t="inlineStr">
        <is>
          <t>ÖSTERGÖTLANDS LÄN</t>
        </is>
      </c>
      <c r="G289" t="inlineStr">
        <is>
          <t>SÖDERKÖPING</t>
        </is>
      </c>
      <c r="I289" t="n">
        <v>18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23518-2026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46221</v>
      </c>
      <c r="F290" t="inlineStr">
        <is>
          <t>ÖSTERGÖTLANDS LÄN</t>
        </is>
      </c>
      <c r="G290" t="inlineStr">
        <is>
          <t>SÖDERKÖPING</t>
        </is>
      </c>
      <c r="H290" t="inlineStr">
        <is>
          <t>Allmännings- och besparingsskogar</t>
        </is>
      </c>
      <c r="I290" t="n">
        <v>6.5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23785-2026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46164</v>
      </c>
      <c r="E291" s="1" t="n">
        <v>46221</v>
      </c>
      <c r="F291" t="inlineStr">
        <is>
          <t>ÖSTERGÖTLANDS LÄN</t>
        </is>
      </c>
      <c r="G291" t="inlineStr">
        <is>
          <t>SÖDERKÖPING</t>
        </is>
      </c>
      <c r="H291" t="inlineStr">
        <is>
          <t>Holmen skog AB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27598-2023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45097</v>
      </c>
      <c r="E292" s="1" t="n">
        <v>46221</v>
      </c>
      <c r="F292" t="inlineStr">
        <is>
          <t>ÖSTERGÖTLANDS LÄN</t>
        </is>
      </c>
      <c r="G292" t="inlineStr">
        <is>
          <t>SÖDERKÖPING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53889-2021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44469</v>
      </c>
      <c r="E293" s="1" t="n">
        <v>46221</v>
      </c>
      <c r="F293" t="inlineStr">
        <is>
          <t>ÖSTERGÖTLANDS LÄN</t>
        </is>
      </c>
      <c r="G293" t="inlineStr">
        <is>
          <t>SÖDERKÖPING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25790-2023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45090</v>
      </c>
      <c r="E294" s="1" t="n">
        <v>46221</v>
      </c>
      <c r="F294" t="inlineStr">
        <is>
          <t>ÖSTERGÖTLANDS LÄN</t>
        </is>
      </c>
      <c r="G294" t="inlineStr">
        <is>
          <t>SÖDERKÖPING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50870-2023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45218</v>
      </c>
      <c r="E295" s="1" t="n">
        <v>46221</v>
      </c>
      <c r="F295" t="inlineStr">
        <is>
          <t>ÖSTERGÖTLANDS LÄN</t>
        </is>
      </c>
      <c r="G295" t="inlineStr">
        <is>
          <t>SÖDERKÖPING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57349-2023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45245</v>
      </c>
      <c r="E296" s="1" t="n">
        <v>46221</v>
      </c>
      <c r="F296" t="inlineStr">
        <is>
          <t>ÖSTERGÖTLANDS LÄN</t>
        </is>
      </c>
      <c r="G296" t="inlineStr">
        <is>
          <t>SÖDERKÖPING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7902-2025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46221</v>
      </c>
      <c r="F297" t="inlineStr">
        <is>
          <t>ÖSTERGÖTLANDS LÄN</t>
        </is>
      </c>
      <c r="G297" t="inlineStr">
        <is>
          <t>SÖDERKÖPING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33731-2023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46221</v>
      </c>
      <c r="F298" t="inlineStr">
        <is>
          <t>ÖSTERGÖTLANDS LÄN</t>
        </is>
      </c>
      <c r="G298" t="inlineStr">
        <is>
          <t>SÖDERKÖPING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33733-2023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45119</v>
      </c>
      <c r="E299" s="1" t="n">
        <v>46221</v>
      </c>
      <c r="F299" t="inlineStr">
        <is>
          <t>ÖSTERGÖTLANDS LÄN</t>
        </is>
      </c>
      <c r="G299" t="inlineStr">
        <is>
          <t>SÖDERKÖPING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31313-2024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45504</v>
      </c>
      <c r="E300" s="1" t="n">
        <v>46221</v>
      </c>
      <c r="F300" t="inlineStr">
        <is>
          <t>ÖSTERGÖTLANDS LÄN</t>
        </is>
      </c>
      <c r="G300" t="inlineStr">
        <is>
          <t>SÖDERKÖPING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20776-2023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45058</v>
      </c>
      <c r="E301" s="1" t="n">
        <v>46221</v>
      </c>
      <c r="F301" t="inlineStr">
        <is>
          <t>ÖSTERGÖTLANDS LÄN</t>
        </is>
      </c>
      <c r="G301" t="inlineStr">
        <is>
          <t>SÖDERKÖPING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61802-2022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44917</v>
      </c>
      <c r="E302" s="1" t="n">
        <v>46221</v>
      </c>
      <c r="F302" t="inlineStr">
        <is>
          <t>ÖSTERGÖTLANDS LÄN</t>
        </is>
      </c>
      <c r="G302" t="inlineStr">
        <is>
          <t>SÖDERKÖPING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24690-2026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46171</v>
      </c>
      <c r="E303" s="1" t="n">
        <v>46221</v>
      </c>
      <c r="F303" t="inlineStr">
        <is>
          <t>ÖSTERGÖTLANDS LÄN</t>
        </is>
      </c>
      <c r="G303" t="inlineStr">
        <is>
          <t>SÖDERKÖPING</t>
        </is>
      </c>
      <c r="H303" t="inlineStr">
        <is>
          <t>Holmen skog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40351-2023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46221</v>
      </c>
      <c r="F304" t="inlineStr">
        <is>
          <t>ÖSTERGÖTLANDS LÄN</t>
        </is>
      </c>
      <c r="G304" t="inlineStr">
        <is>
          <t>SÖDERKÖPING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40356-2023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45169</v>
      </c>
      <c r="E305" s="1" t="n">
        <v>46221</v>
      </c>
      <c r="F305" t="inlineStr">
        <is>
          <t>ÖSTERGÖTLANDS LÄN</t>
        </is>
      </c>
      <c r="G305" t="inlineStr">
        <is>
          <t>SÖDERKÖPING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24726-2026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46171</v>
      </c>
      <c r="E306" s="1" t="n">
        <v>46221</v>
      </c>
      <c r="F306" t="inlineStr">
        <is>
          <t>ÖSTERGÖTLANDS LÄN</t>
        </is>
      </c>
      <c r="G306" t="inlineStr">
        <is>
          <t>SÖDERKÖPING</t>
        </is>
      </c>
      <c r="H306" t="inlineStr">
        <is>
          <t>Holmen skog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58223-2022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44901</v>
      </c>
      <c r="E307" s="1" t="n">
        <v>46221</v>
      </c>
      <c r="F307" t="inlineStr">
        <is>
          <t>ÖSTERGÖTLANDS LÄN</t>
        </is>
      </c>
      <c r="G307" t="inlineStr">
        <is>
          <t>SÖDERKÖPING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57255-2024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45629</v>
      </c>
      <c r="E308" s="1" t="n">
        <v>46221</v>
      </c>
      <c r="F308" t="inlineStr">
        <is>
          <t>ÖSTERGÖTLANDS LÄN</t>
        </is>
      </c>
      <c r="G308" t="inlineStr">
        <is>
          <t>SÖDERKÖPING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42352-2023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45180</v>
      </c>
      <c r="E309" s="1" t="n">
        <v>46221</v>
      </c>
      <c r="F309" t="inlineStr">
        <is>
          <t>ÖSTERGÖTLANDS LÄN</t>
        </is>
      </c>
      <c r="G309" t="inlineStr">
        <is>
          <t>SÖDERKÖPING</t>
        </is>
      </c>
      <c r="H309" t="inlineStr">
        <is>
          <t>Allmännings- och besparingsskogar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45476-2023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45194</v>
      </c>
      <c r="E310" s="1" t="n">
        <v>46221</v>
      </c>
      <c r="F310" t="inlineStr">
        <is>
          <t>ÖSTERGÖTLANDS LÄN</t>
        </is>
      </c>
      <c r="G310" t="inlineStr">
        <is>
          <t>SÖDERKÖPING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356-2024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45295</v>
      </c>
      <c r="E311" s="1" t="n">
        <v>46221</v>
      </c>
      <c r="F311" t="inlineStr">
        <is>
          <t>ÖSTERGÖTLANDS LÄN</t>
        </is>
      </c>
      <c r="G311" t="inlineStr">
        <is>
          <t>SÖDERKÖPING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16286-2023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45028</v>
      </c>
      <c r="E312" s="1" t="n">
        <v>46221</v>
      </c>
      <c r="F312" t="inlineStr">
        <is>
          <t>ÖSTERGÖTLANDS LÄN</t>
        </is>
      </c>
      <c r="G312" t="inlineStr">
        <is>
          <t>SÖDERKÖPING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50866-2023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45218</v>
      </c>
      <c r="E313" s="1" t="n">
        <v>46221</v>
      </c>
      <c r="F313" t="inlineStr">
        <is>
          <t>ÖSTERGÖTLANDS LÄN</t>
        </is>
      </c>
      <c r="G313" t="inlineStr">
        <is>
          <t>SÖDERKÖPING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20251-2023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45055</v>
      </c>
      <c r="E314" s="1" t="n">
        <v>46221</v>
      </c>
      <c r="F314" t="inlineStr">
        <is>
          <t>ÖSTERGÖTLANDS LÄN</t>
        </is>
      </c>
      <c r="G314" t="inlineStr">
        <is>
          <t>SÖDERKÖPING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20253-2023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45055</v>
      </c>
      <c r="E315" s="1" t="n">
        <v>46221</v>
      </c>
      <c r="F315" t="inlineStr">
        <is>
          <t>ÖSTERGÖTLANDS LÄN</t>
        </is>
      </c>
      <c r="G315" t="inlineStr">
        <is>
          <t>SÖDERKÖPING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44819-2023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45190</v>
      </c>
      <c r="E316" s="1" t="n">
        <v>46221</v>
      </c>
      <c r="F316" t="inlineStr">
        <is>
          <t>ÖSTERGÖTLANDS LÄN</t>
        </is>
      </c>
      <c r="G316" t="inlineStr">
        <is>
          <t>SÖDERKÖPING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45483-2023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45194</v>
      </c>
      <c r="E317" s="1" t="n">
        <v>46221</v>
      </c>
      <c r="F317" t="inlineStr">
        <is>
          <t>ÖSTERGÖTLANDS LÄN</t>
        </is>
      </c>
      <c r="G317" t="inlineStr">
        <is>
          <t>SÖDERKÖPING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225-2023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44928</v>
      </c>
      <c r="E318" s="1" t="n">
        <v>46221</v>
      </c>
      <c r="F318" t="inlineStr">
        <is>
          <t>ÖSTERGÖTLANDS LÄN</t>
        </is>
      </c>
      <c r="G318" t="inlineStr">
        <is>
          <t>SÖDERKÖPING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34917-2022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44796</v>
      </c>
      <c r="E319" s="1" t="n">
        <v>46221</v>
      </c>
      <c r="F319" t="inlineStr">
        <is>
          <t>ÖSTERGÖTLANDS LÄN</t>
        </is>
      </c>
      <c r="G319" t="inlineStr">
        <is>
          <t>SÖDERKÖPING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24875-2026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46221</v>
      </c>
      <c r="F320" t="inlineStr">
        <is>
          <t>ÖSTERGÖTLANDS LÄN</t>
        </is>
      </c>
      <c r="G320" t="inlineStr">
        <is>
          <t>SÖDERKÖPING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61511-2023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45265</v>
      </c>
      <c r="E321" s="1" t="n">
        <v>46221</v>
      </c>
      <c r="F321" t="inlineStr">
        <is>
          <t>ÖSTERGÖTLANDS LÄN</t>
        </is>
      </c>
      <c r="G321" t="inlineStr">
        <is>
          <t>SÖDERKÖPING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4163-2022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44588</v>
      </c>
      <c r="E322" s="1" t="n">
        <v>46221</v>
      </c>
      <c r="F322" t="inlineStr">
        <is>
          <t>ÖSTERGÖTLANDS LÄN</t>
        </is>
      </c>
      <c r="G322" t="inlineStr">
        <is>
          <t>SÖDERKÖPING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31317-2026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46219</v>
      </c>
      <c r="E323" s="1" t="n">
        <v>46221</v>
      </c>
      <c r="F323" t="inlineStr">
        <is>
          <t>ÖSTERGÖTLANDS LÄN</t>
        </is>
      </c>
      <c r="G323" t="inlineStr">
        <is>
          <t>SÖDERKÖPING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49251-2024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45595</v>
      </c>
      <c r="E324" s="1" t="n">
        <v>46221</v>
      </c>
      <c r="F324" t="inlineStr">
        <is>
          <t>ÖSTERGÖTLANDS LÄN</t>
        </is>
      </c>
      <c r="G324" t="inlineStr">
        <is>
          <t>SÖDERKÖPING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31351-2026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46219</v>
      </c>
      <c r="E325" s="1" t="n">
        <v>46221</v>
      </c>
      <c r="F325" t="inlineStr">
        <is>
          <t>ÖSTERGÖTLANDS LÄN</t>
        </is>
      </c>
      <c r="G325" t="inlineStr">
        <is>
          <t>SÖDERKÖPING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22208-2026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46221</v>
      </c>
      <c r="F326" t="inlineStr">
        <is>
          <t>ÖSTERGÖTLANDS LÄN</t>
        </is>
      </c>
      <c r="G326" t="inlineStr">
        <is>
          <t>SÖDERKÖPING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63392-2021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44508</v>
      </c>
      <c r="E327" s="1" t="n">
        <v>46221</v>
      </c>
      <c r="F327" t="inlineStr">
        <is>
          <t>ÖSTERGÖTLANDS LÄN</t>
        </is>
      </c>
      <c r="G327" t="inlineStr">
        <is>
          <t>SÖDERKÖPING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11951-2024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45376</v>
      </c>
      <c r="E328" s="1" t="n">
        <v>46221</v>
      </c>
      <c r="F328" t="inlineStr">
        <is>
          <t>ÖSTERGÖTLANDS LÄN</t>
        </is>
      </c>
      <c r="G328" t="inlineStr">
        <is>
          <t>SÖDERKÖPING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6350-2023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44965</v>
      </c>
      <c r="E329" s="1" t="n">
        <v>46221</v>
      </c>
      <c r="F329" t="inlineStr">
        <is>
          <t>ÖSTERGÖTLANDS LÄN</t>
        </is>
      </c>
      <c r="G329" t="inlineStr">
        <is>
          <t>SÖDERKÖPING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44174-2023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45188</v>
      </c>
      <c r="E330" s="1" t="n">
        <v>46221</v>
      </c>
      <c r="F330" t="inlineStr">
        <is>
          <t>ÖSTERGÖTLANDS LÄN</t>
        </is>
      </c>
      <c r="G330" t="inlineStr">
        <is>
          <t>SÖDERKÖPING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59876-2023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45257</v>
      </c>
      <c r="E331" s="1" t="n">
        <v>46221</v>
      </c>
      <c r="F331" t="inlineStr">
        <is>
          <t>ÖSTERGÖTLANDS LÄN</t>
        </is>
      </c>
      <c r="G331" t="inlineStr">
        <is>
          <t>SÖDERKÖPING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48555-2023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45208</v>
      </c>
      <c r="E332" s="1" t="n">
        <v>46221</v>
      </c>
      <c r="F332" t="inlineStr">
        <is>
          <t>ÖSTERGÖTLANDS LÄN</t>
        </is>
      </c>
      <c r="G332" t="inlineStr">
        <is>
          <t>SÖDERKÖPING</t>
        </is>
      </c>
      <c r="H332" t="inlineStr">
        <is>
          <t>Holmen skog AB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4526-2025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45687</v>
      </c>
      <c r="E333" s="1" t="n">
        <v>46221</v>
      </c>
      <c r="F333" t="inlineStr">
        <is>
          <t>ÖSTERGÖTLANDS LÄN</t>
        </is>
      </c>
      <c r="G333" t="inlineStr">
        <is>
          <t>SÖDERKÖPING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42673-2023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45181</v>
      </c>
      <c r="E334" s="1" t="n">
        <v>46221</v>
      </c>
      <c r="F334" t="inlineStr">
        <is>
          <t>ÖSTERGÖTLANDS LÄN</t>
        </is>
      </c>
      <c r="G334" t="inlineStr">
        <is>
          <t>SÖDERKÖPING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1293-2025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45667</v>
      </c>
      <c r="E335" s="1" t="n">
        <v>46221</v>
      </c>
      <c r="F335" t="inlineStr">
        <is>
          <t>ÖSTERGÖTLANDS LÄN</t>
        </is>
      </c>
      <c r="G335" t="inlineStr">
        <is>
          <t>SÖDERKÖPING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6615-2025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45700</v>
      </c>
      <c r="E336" s="1" t="n">
        <v>46221</v>
      </c>
      <c r="F336" t="inlineStr">
        <is>
          <t>ÖSTERGÖTLANDS LÄN</t>
        </is>
      </c>
      <c r="G336" t="inlineStr">
        <is>
          <t>SÖDERKÖPING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31305-2024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45504</v>
      </c>
      <c r="E337" s="1" t="n">
        <v>46221</v>
      </c>
      <c r="F337" t="inlineStr">
        <is>
          <t>ÖSTERGÖTLANDS LÄN</t>
        </is>
      </c>
      <c r="G337" t="inlineStr">
        <is>
          <t>SÖDERKÖPING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31314-2024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45504</v>
      </c>
      <c r="E338" s="1" t="n">
        <v>46221</v>
      </c>
      <c r="F338" t="inlineStr">
        <is>
          <t>ÖSTERGÖTLANDS LÄN</t>
        </is>
      </c>
      <c r="G338" t="inlineStr">
        <is>
          <t>SÖDERKÖPING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20310-2024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45435</v>
      </c>
      <c r="E339" s="1" t="n">
        <v>46221</v>
      </c>
      <c r="F339" t="inlineStr">
        <is>
          <t>ÖSTERGÖTLANDS LÄN</t>
        </is>
      </c>
      <c r="G339" t="inlineStr">
        <is>
          <t>SÖDERKÖPING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45692</v>
      </c>
      <c r="E340" s="1" t="n">
        <v>46221</v>
      </c>
      <c r="F340" t="inlineStr">
        <is>
          <t>ÖSTERGÖTLANDS LÄN</t>
        </is>
      </c>
      <c r="G340" t="inlineStr">
        <is>
          <t>SÖDERKÖPING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51746-2023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45222</v>
      </c>
      <c r="E341" s="1" t="n">
        <v>46221</v>
      </c>
      <c r="F341" t="inlineStr">
        <is>
          <t>ÖSTERGÖTLANDS LÄN</t>
        </is>
      </c>
      <c r="G341" t="inlineStr">
        <is>
          <t>SÖDERKÖPING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43495-2023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45184</v>
      </c>
      <c r="E342" s="1" t="n">
        <v>46221</v>
      </c>
      <c r="F342" t="inlineStr">
        <is>
          <t>ÖSTERGÖTLANDS LÄN</t>
        </is>
      </c>
      <c r="G342" t="inlineStr">
        <is>
          <t>SÖDERKÖPING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50574-2024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45601</v>
      </c>
      <c r="E343" s="1" t="n">
        <v>46221</v>
      </c>
      <c r="F343" t="inlineStr">
        <is>
          <t>ÖSTERGÖTLANDS LÄN</t>
        </is>
      </c>
      <c r="G343" t="inlineStr">
        <is>
          <t>SÖDERKÖPING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31312-2024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45504</v>
      </c>
      <c r="E344" s="1" t="n">
        <v>46221</v>
      </c>
      <c r="F344" t="inlineStr">
        <is>
          <t>ÖSTERGÖTLANDS LÄN</t>
        </is>
      </c>
      <c r="G344" t="inlineStr">
        <is>
          <t>SÖDERKÖPING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22918-2025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45790</v>
      </c>
      <c r="E345" s="1" t="n">
        <v>46221</v>
      </c>
      <c r="F345" t="inlineStr">
        <is>
          <t>ÖSTERGÖTLANDS LÄN</t>
        </is>
      </c>
      <c r="G345" t="inlineStr">
        <is>
          <t>SÖDERKÖPING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9729-2023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44984</v>
      </c>
      <c r="E346" s="1" t="n">
        <v>46221</v>
      </c>
      <c r="F346" t="inlineStr">
        <is>
          <t>ÖSTERGÖTLANDS LÄN</t>
        </is>
      </c>
      <c r="G346" t="inlineStr">
        <is>
          <t>SÖDERKÖPING</t>
        </is>
      </c>
      <c r="I346" t="n">
        <v>13.8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31315-2024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45504</v>
      </c>
      <c r="E347" s="1" t="n">
        <v>46221</v>
      </c>
      <c r="F347" t="inlineStr">
        <is>
          <t>ÖSTERGÖTLANDS LÄN</t>
        </is>
      </c>
      <c r="G347" t="inlineStr">
        <is>
          <t>SÖDERKÖPING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23451-2025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45792</v>
      </c>
      <c r="E348" s="1" t="n">
        <v>46221</v>
      </c>
      <c r="F348" t="inlineStr">
        <is>
          <t>ÖSTERGÖTLANDS LÄN</t>
        </is>
      </c>
      <c r="G348" t="inlineStr">
        <is>
          <t>SÖDERKÖPING</t>
        </is>
      </c>
      <c r="I348" t="n">
        <v>12.2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59885-2023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45257</v>
      </c>
      <c r="E349" s="1" t="n">
        <v>46221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24344-2025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45797</v>
      </c>
      <c r="E350" s="1" t="n">
        <v>46221</v>
      </c>
      <c r="F350" t="inlineStr">
        <is>
          <t>ÖSTERGÖTLANDS LÄN</t>
        </is>
      </c>
      <c r="G350" t="inlineStr">
        <is>
          <t>SÖDERKÖPING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24355-2025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45797</v>
      </c>
      <c r="E351" s="1" t="n">
        <v>46221</v>
      </c>
      <c r="F351" t="inlineStr">
        <is>
          <t>ÖSTERGÖTLANDS LÄN</t>
        </is>
      </c>
      <c r="G351" t="inlineStr">
        <is>
          <t>SÖDERKÖPING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4224-2025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45685</v>
      </c>
      <c r="E352" s="1" t="n">
        <v>46221</v>
      </c>
      <c r="F352" t="inlineStr">
        <is>
          <t>ÖSTERGÖTLANDS LÄN</t>
        </is>
      </c>
      <c r="G352" t="inlineStr">
        <is>
          <t>SÖDERKÖPING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45692</v>
      </c>
      <c r="E353" s="1" t="n">
        <v>46221</v>
      </c>
      <c r="F353" t="inlineStr">
        <is>
          <t>ÖSTERGÖTLANDS LÄN</t>
        </is>
      </c>
      <c r="G353" t="inlineStr">
        <is>
          <t>SÖDERKÖPING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S 4766-2024</t>
        </is>
      </c>
      <c r="B354" t="inlineStr">
        <is>
          <t>samrådsanmälan</t>
        </is>
      </c>
      <c r="C354" t="inlineStr">
        <is>
          <t>Åtgärd i nyckelbiotop</t>
        </is>
      </c>
      <c r="D354" s="1" t="n">
        <v>45610</v>
      </c>
      <c r="E354" s="1" t="n">
        <v>46221</v>
      </c>
      <c r="F354" t="inlineStr">
        <is>
          <t>ÖSTERGÖTLANDS LÄN</t>
        </is>
      </c>
      <c r="G354" t="inlineStr">
        <is>
          <t>SÖDERKÖPING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S 3958-2024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45567</v>
      </c>
      <c r="E355" s="1" t="n">
        <v>46221</v>
      </c>
      <c r="F355" t="inlineStr">
        <is>
          <t>ÖSTERGÖTLANDS LÄN</t>
        </is>
      </c>
      <c r="G355" t="inlineStr">
        <is>
          <t>SÖDERKÖPING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S 4052-2023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45246</v>
      </c>
      <c r="E356" s="1" t="n">
        <v>46221</v>
      </c>
      <c r="F356" t="inlineStr">
        <is>
          <t>ÖSTERGÖTLANDS LÄN</t>
        </is>
      </c>
      <c r="G356" t="inlineStr">
        <is>
          <t>SÖDERKÖPING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1568-2024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45426</v>
      </c>
      <c r="E357" s="1" t="n">
        <v>46221</v>
      </c>
      <c r="F357" t="inlineStr">
        <is>
          <t>ÖSTERGÖTLANDS LÄN</t>
        </is>
      </c>
      <c r="G357" t="inlineStr">
        <is>
          <t>SÖDERKÖPING</t>
        </is>
      </c>
      <c r="I357" t="n">
        <v>29.3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3312-2023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45195</v>
      </c>
      <c r="E358" s="1" t="n">
        <v>46221</v>
      </c>
      <c r="F358" t="inlineStr">
        <is>
          <t>ÖSTERGÖTLANDS LÄN</t>
        </is>
      </c>
      <c r="G358" t="inlineStr">
        <is>
          <t>SÖDERKÖPING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>
      <c r="A359" t="inlineStr">
        <is>
          <t>S 1540-2026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46168</v>
      </c>
      <c r="E359" s="1" t="n">
        <v>46221</v>
      </c>
      <c r="F359" t="inlineStr">
        <is>
          <t>ÖSTERGÖTLANDS LÄN</t>
        </is>
      </c>
      <c r="G359" t="inlineStr">
        <is>
          <t>SÖDERKÖPING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2026-07-18T01:23:11Z</dcterms:created>
  <dcterms:modified xmlns:dcterms="http://purl.org/dc/terms/" xmlns:xsi="http://www.w3.org/2001/XMLSchema-instance" xsi:type="dcterms:W3CDTF">2026-07-18T01:23:11Z</dcterms:modified>
</cp:coreProperties>
</file>