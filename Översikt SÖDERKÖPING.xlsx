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46263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46263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46263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46263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46263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46263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46263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46263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30438-2022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44761</v>
      </c>
      <c r="E13" s="1" t="n">
        <v>46263</v>
      </c>
      <c r="F13" t="inlineStr">
        <is>
          <t>ÖSTERGÖTLANDS LÄN</t>
        </is>
      </c>
      <c r="G13" t="inlineStr">
        <is>
          <t>SÖDERKÖPING</t>
        </is>
      </c>
      <c r="I13" t="n">
        <v>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HYPERLINK("https://klasma.github.io/Logging_0582/artfynd/A 30438-2022 artfynd.xlsx", "A 30438-2022")</f>
        <v/>
      </c>
      <c r="X13">
        <f>HYPERLINK("https://klasma.github.io/Logging_0582/kartor/A 30438-2022 karta.png", "A 30438-2022")</f>
        <v/>
      </c>
      <c r="Y13">
        <f>HYPERLINK("https://klasma.github.io/Logging_0582/kartor_geotiff/A 30438-2022 georefererad karta.tif", "A 30438-2022")</f>
        <v/>
      </c>
      <c r="AA13">
        <f>HYPERLINK("https://klasma.github.io/Logging_0582/klagomål/A 30438-2022 FSC-klagomål.docx", "A 30438-2022")</f>
        <v/>
      </c>
      <c r="AB13">
        <f>HYPERLINK("https://klasma.github.io/Logging_0582/klagomålsmail/A 30438-2022 FSC-klagomål mail.docx", "A 30438-2022")</f>
        <v/>
      </c>
      <c r="AC13">
        <f>HYPERLINK("https://klasma.github.io/Logging_0582/tillsyn/A 30438-2022 tillsynsbegäran.docx", "A 30438-2022")</f>
        <v/>
      </c>
      <c r="AD13">
        <f>HYPERLINK("https://klasma.github.io/Logging_0582/tillsynsmail/A 30438-2022 tillsynsbegäran mail.docx", "A 30438-2022")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46263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46263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37183-2025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46263</v>
      </c>
      <c r="F16" t="inlineStr">
        <is>
          <t>ÖSTERGÖTLANDS LÄN</t>
        </is>
      </c>
      <c r="G16" t="inlineStr">
        <is>
          <t>SÖDERKÖPING</t>
        </is>
      </c>
      <c r="I16" t="n">
        <v>4.8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Vedskivlav
Vanlig padda</t>
        </is>
      </c>
      <c r="W16">
        <f>HYPERLINK("https://klasma.github.io/Logging_0582/artfynd/A 37183-2025 artfynd.xlsx", "A 37183-2025")</f>
        <v/>
      </c>
      <c r="X16">
        <f>HYPERLINK("https://klasma.github.io/Logging_0582/kartor/A 37183-2025 karta.png", "A 37183-2025")</f>
        <v/>
      </c>
      <c r="Y16">
        <f>HYPERLINK("https://klasma.github.io/Logging_0582/kartor_geotiff/A 37183-2025 georefererad karta.tif", "A 37183-2025")</f>
        <v/>
      </c>
      <c r="AA16">
        <f>HYPERLINK("https://klasma.github.io/Logging_0582/klagomål/A 37183-2025 FSC-klagomål.docx", "A 37183-2025")</f>
        <v/>
      </c>
      <c r="AB16">
        <f>HYPERLINK("https://klasma.github.io/Logging_0582/klagomålsmail/A 37183-2025 FSC-klagomål mail.docx", "A 37183-2025")</f>
        <v/>
      </c>
      <c r="AC16">
        <f>HYPERLINK("https://klasma.github.io/Logging_0582/tillsyn/A 37183-2025 tillsynsbegäran.docx", "A 37183-2025")</f>
        <v/>
      </c>
      <c r="AD16">
        <f>HYPERLINK("https://klasma.github.io/Logging_0582/tillsynsmail/A 37183-2025 tillsynsbegäran mail.docx", "A 37183-2025")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46263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46263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46263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46263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46263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46263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46263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46263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22512-2024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45447</v>
      </c>
      <c r="E25" s="1" t="n">
        <v>46263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Kommuner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Skogsstjärna</t>
        </is>
      </c>
      <c r="W25">
        <f>HYPERLINK("https://klasma.github.io/Logging_0582/artfynd/A 22512-2024 artfynd.xlsx", "A 22512-2024")</f>
        <v/>
      </c>
      <c r="X25">
        <f>HYPERLINK("https://klasma.github.io/Logging_0582/kartor/A 22512-2024 karta.png", "A 22512-2024")</f>
        <v/>
      </c>
      <c r="Y25">
        <f>HYPERLINK("https://klasma.github.io/Logging_0582/kartor_geotiff/A 22512-2024 georefererad karta.tif", "A 22512-2024")</f>
        <v/>
      </c>
      <c r="AA25">
        <f>HYPERLINK("https://klasma.github.io/Logging_0582/klagomål/A 22512-2024 FSC-klagomål.docx", "A 22512-2024")</f>
        <v/>
      </c>
      <c r="AB25">
        <f>HYPERLINK("https://klasma.github.io/Logging_0582/klagomålsmail/A 22512-2024 FSC-klagomål mail.docx", "A 22512-2024")</f>
        <v/>
      </c>
      <c r="AC25">
        <f>HYPERLINK("https://klasma.github.io/Logging_0582/tillsyn/A 22512-2024 tillsynsbegäran.docx", "A 22512-2024")</f>
        <v/>
      </c>
      <c r="AD25">
        <f>HYPERLINK("https://klasma.github.io/Logging_0582/tillsynsmail/A 22512-2024 tillsynsbegäran mail.docx", "A 22512-2024")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46263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46263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4709-2025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45688</v>
      </c>
      <c r="E28" s="1" t="n">
        <v>46263</v>
      </c>
      <c r="F28" t="inlineStr">
        <is>
          <t>ÖSTERGÖTLANDS LÄN</t>
        </is>
      </c>
      <c r="G28" t="inlineStr">
        <is>
          <t>SÖDERKÖPING</t>
        </is>
      </c>
      <c r="I28" t="n">
        <v>5.1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HYPERLINK("https://klasma.github.io/Logging_0582/artfynd/A 4709-2025 artfynd.xlsx", "A 4709-2025")</f>
        <v/>
      </c>
      <c r="X28">
        <f>HYPERLINK("https://klasma.github.io/Logging_0582/kartor/A 4709-2025 karta.png", "A 4709-2025")</f>
        <v/>
      </c>
      <c r="Y28">
        <f>HYPERLINK("https://klasma.github.io/Logging_0582/kartor_geotiff/A 4709-2025 georefererad karta.tif", "A 4709-2025")</f>
        <v/>
      </c>
      <c r="AA28">
        <f>HYPERLINK("https://klasma.github.io/Logging_0582/klagomål/A 4709-2025 FSC-klagomål.docx", "A 4709-2025")</f>
        <v/>
      </c>
      <c r="AB28">
        <f>HYPERLINK("https://klasma.github.io/Logging_0582/klagomålsmail/A 4709-2025 FSC-klagomål mail.docx", "A 4709-2025")</f>
        <v/>
      </c>
      <c r="AC28">
        <f>HYPERLINK("https://klasma.github.io/Logging_0582/tillsyn/A 4709-2025 tillsynsbegäran.docx", "A 4709-2025")</f>
        <v/>
      </c>
      <c r="AD28">
        <f>HYPERLINK("https://klasma.github.io/Logging_0582/tillsynsmail/A 4709-2025 tillsynsbegäran mail.docx", "A 4709-2025")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46263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28549-2024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46263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Vippärt</t>
        </is>
      </c>
      <c r="W30">
        <f>HYPERLINK("https://klasma.github.io/Logging_0582/artfynd/A 28549-2024 artfynd.xlsx", "A 28549-2024")</f>
        <v/>
      </c>
      <c r="X30">
        <f>HYPERLINK("https://klasma.github.io/Logging_0582/kartor/A 28549-2024 karta.png", "A 28549-2024")</f>
        <v/>
      </c>
      <c r="Y30">
        <f>HYPERLINK("https://klasma.github.io/Logging_0582/kartor_geotiff/A 28549-2024 georefererad karta.tif", "A 28549-2024")</f>
        <v/>
      </c>
      <c r="AA30">
        <f>HYPERLINK("https://klasma.github.io/Logging_0582/klagomål/A 28549-2024 FSC-klagomål.docx", "A 28549-2024")</f>
        <v/>
      </c>
      <c r="AB30">
        <f>HYPERLINK("https://klasma.github.io/Logging_0582/klagomålsmail/A 28549-2024 FSC-klagomål mail.docx", "A 28549-2024")</f>
        <v/>
      </c>
      <c r="AC30">
        <f>HYPERLINK("https://klasma.github.io/Logging_0582/tillsyn/A 28549-2024 tillsynsbegäran.docx", "A 28549-2024")</f>
        <v/>
      </c>
      <c r="AD30">
        <f>HYPERLINK("https://klasma.github.io/Logging_0582/tillsynsmail/A 28549-2024 tillsynsbegäran mail.docx", "A 28549-2024")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46263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46263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46263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46263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46263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46263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46263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46263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46263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46263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46263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46263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46263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46263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46263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46263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46263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46263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46263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46263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46263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46263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46263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46263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46263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46263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46263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46263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46263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46263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46263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46263</v>
      </c>
      <c r="F62" t="inlineStr">
        <is>
          <t>ÖSTERGÖTLANDS LÄN</t>
        </is>
      </c>
      <c r="G62" t="inlineStr">
        <is>
          <t>SÖDERKÖPING</t>
        </is>
      </c>
      <c r="H62" t="inlineStr">
        <is>
          <t>Holmen skog AB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45215</v>
      </c>
      <c r="E63" s="1" t="n">
        <v>46263</v>
      </c>
      <c r="F63" t="inlineStr">
        <is>
          <t>ÖSTERGÖTLANDS LÄN</t>
        </is>
      </c>
      <c r="G63" t="inlineStr">
        <is>
          <t>SÖDERKÖPING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46263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46263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45297</v>
      </c>
      <c r="E66" s="1" t="n">
        <v>46263</v>
      </c>
      <c r="F66" t="inlineStr">
        <is>
          <t>ÖSTERGÖTLANDS LÄN</t>
        </is>
      </c>
      <c r="G66" t="inlineStr">
        <is>
          <t>SÖDERKÖPING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31305-2024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45504</v>
      </c>
      <c r="E67" s="1" t="n">
        <v>46263</v>
      </c>
      <c r="F67" t="inlineStr">
        <is>
          <t>ÖSTERGÖTLANDS LÄN</t>
        </is>
      </c>
      <c r="G67" t="inlineStr">
        <is>
          <t>SÖDERKÖPING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45504</v>
      </c>
      <c r="E68" s="1" t="n">
        <v>46263</v>
      </c>
      <c r="F68" t="inlineStr">
        <is>
          <t>ÖSTERGÖTLANDS LÄN</t>
        </is>
      </c>
      <c r="G68" t="inlineStr">
        <is>
          <t>SÖDERKÖPING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20310-2024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45435</v>
      </c>
      <c r="E69" s="1" t="n">
        <v>46263</v>
      </c>
      <c r="F69" t="inlineStr">
        <is>
          <t>ÖSTERGÖTLANDS LÄN</t>
        </is>
      </c>
      <c r="G69" t="inlineStr">
        <is>
          <t>SÖDERKÖPING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45692</v>
      </c>
      <c r="E70" s="1" t="n">
        <v>46263</v>
      </c>
      <c r="F70" t="inlineStr">
        <is>
          <t>ÖSTERGÖTLANDS LÄN</t>
        </is>
      </c>
      <c r="G70" t="inlineStr">
        <is>
          <t>SÖDERKÖPING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29519-2023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45106</v>
      </c>
      <c r="E71" s="1" t="n">
        <v>46263</v>
      </c>
      <c r="F71" t="inlineStr">
        <is>
          <t>ÖSTERGÖTLANDS LÄN</t>
        </is>
      </c>
      <c r="G71" t="inlineStr">
        <is>
          <t>SÖDERKÖPING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51746-2023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45222</v>
      </c>
      <c r="E72" s="1" t="n">
        <v>46263</v>
      </c>
      <c r="F72" t="inlineStr">
        <is>
          <t>ÖSTERGÖTLANDS LÄN</t>
        </is>
      </c>
      <c r="G72" t="inlineStr">
        <is>
          <t>SÖDERKÖPING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43495-2023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45184</v>
      </c>
      <c r="E73" s="1" t="n">
        <v>46263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45961</v>
      </c>
      <c r="E74" s="1" t="n">
        <v>46263</v>
      </c>
      <c r="F74" t="inlineStr">
        <is>
          <t>ÖSTERGÖTLANDS LÄN</t>
        </is>
      </c>
      <c r="G74" t="inlineStr">
        <is>
          <t>SÖDERKÖPING</t>
        </is>
      </c>
      <c r="I74" t="n">
        <v>9.1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45601</v>
      </c>
      <c r="E75" s="1" t="n">
        <v>46263</v>
      </c>
      <c r="F75" t="inlineStr">
        <is>
          <t>ÖSTERGÖTLANDS LÄN</t>
        </is>
      </c>
      <c r="G75" t="inlineStr">
        <is>
          <t>SÖDERKÖPING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46263</v>
      </c>
      <c r="F76" t="inlineStr">
        <is>
          <t>ÖSTERGÖTLANDS LÄN</t>
        </is>
      </c>
      <c r="G76" t="inlineStr">
        <is>
          <t>SÖDERKÖPING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44805</v>
      </c>
      <c r="E77" s="1" t="n">
        <v>46263</v>
      </c>
      <c r="F77" t="inlineStr">
        <is>
          <t>ÖSTERGÖTLANDS LÄN</t>
        </is>
      </c>
      <c r="G77" t="inlineStr">
        <is>
          <t>SÖDERKÖPING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45504</v>
      </c>
      <c r="E78" s="1" t="n">
        <v>46263</v>
      </c>
      <c r="F78" t="inlineStr">
        <is>
          <t>ÖSTERGÖTLANDS LÄN</t>
        </is>
      </c>
      <c r="G78" t="inlineStr">
        <is>
          <t>SÖDERKÖPING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33726-2023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45119</v>
      </c>
      <c r="E79" s="1" t="n">
        <v>46263</v>
      </c>
      <c r="F79" t="inlineStr">
        <is>
          <t>ÖSTERGÖTLANDS LÄN</t>
        </is>
      </c>
      <c r="G79" t="inlineStr">
        <is>
          <t>SÖDERKÖPING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22918-2025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45790</v>
      </c>
      <c r="E80" s="1" t="n">
        <v>46263</v>
      </c>
      <c r="F80" t="inlineStr">
        <is>
          <t>ÖSTERGÖTLANDS LÄN</t>
        </is>
      </c>
      <c r="G80" t="inlineStr">
        <is>
          <t>SÖDERKÖPING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9729-2023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44984</v>
      </c>
      <c r="E81" s="1" t="n">
        <v>46263</v>
      </c>
      <c r="F81" t="inlineStr">
        <is>
          <t>ÖSTERGÖTLANDS LÄN</t>
        </is>
      </c>
      <c r="G81" t="inlineStr">
        <is>
          <t>SÖDERKÖPING</t>
        </is>
      </c>
      <c r="I81" t="n">
        <v>13.8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45504</v>
      </c>
      <c r="E82" s="1" t="n">
        <v>46263</v>
      </c>
      <c r="F82" t="inlineStr">
        <is>
          <t>ÖSTERGÖTLANDS LÄN</t>
        </is>
      </c>
      <c r="G82" t="inlineStr">
        <is>
          <t>SÖDERKÖPING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46263</v>
      </c>
      <c r="F83" t="inlineStr">
        <is>
          <t>ÖSTERGÖTLANDS LÄN</t>
        </is>
      </c>
      <c r="G83" t="inlineStr">
        <is>
          <t>SÖDERKÖPING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45489</v>
      </c>
      <c r="E84" s="1" t="n">
        <v>46263</v>
      </c>
      <c r="F84" t="inlineStr">
        <is>
          <t>ÖSTERGÖTLANDS LÄN</t>
        </is>
      </c>
      <c r="G84" t="inlineStr">
        <is>
          <t>SÖDERKÖPING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45792</v>
      </c>
      <c r="E85" s="1" t="n">
        <v>46263</v>
      </c>
      <c r="F85" t="inlineStr">
        <is>
          <t>ÖSTERGÖTLANDS LÄN</t>
        </is>
      </c>
      <c r="G85" t="inlineStr">
        <is>
          <t>SÖDERKÖPING</t>
        </is>
      </c>
      <c r="I85" t="n">
        <v>12.2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39854-2025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45891</v>
      </c>
      <c r="E86" s="1" t="n">
        <v>46263</v>
      </c>
      <c r="F86" t="inlineStr">
        <is>
          <t>ÖSTERGÖTLANDS LÄN</t>
        </is>
      </c>
      <c r="G86" t="inlineStr">
        <is>
          <t>SÖDERKÖPING</t>
        </is>
      </c>
      <c r="I86" t="n">
        <v>26.6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46263</v>
      </c>
      <c r="F87" t="inlineStr">
        <is>
          <t>ÖSTERGÖTLANDS LÄN</t>
        </is>
      </c>
      <c r="G87" t="inlineStr">
        <is>
          <t>SÖDERKÖPING</t>
        </is>
      </c>
      <c r="H87" t="inlineStr">
        <is>
          <t>Allmännings- och besparingsskogar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44984</v>
      </c>
      <c r="E88" s="1" t="n">
        <v>46263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Allmännings- och besparingsskogar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46263</v>
      </c>
      <c r="F89" t="inlineStr">
        <is>
          <t>ÖSTERGÖTLANDS LÄN</t>
        </is>
      </c>
      <c r="G89" t="inlineStr">
        <is>
          <t>SÖDERKÖPING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46263</v>
      </c>
      <c r="F90" t="inlineStr">
        <is>
          <t>ÖSTERGÖTLANDS LÄN</t>
        </is>
      </c>
      <c r="G90" t="inlineStr">
        <is>
          <t>SÖDERKÖPING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64211-2023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45279</v>
      </c>
      <c r="E91" s="1" t="n">
        <v>46263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46263</v>
      </c>
      <c r="F92" t="inlineStr">
        <is>
          <t>ÖSTERGÖTLANDS LÄN</t>
        </is>
      </c>
      <c r="G92" t="inlineStr">
        <is>
          <t>SÖDERKÖPING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46263</v>
      </c>
      <c r="F93" t="inlineStr">
        <is>
          <t>ÖSTERGÖTLANDS LÄN</t>
        </is>
      </c>
      <c r="G93" t="inlineStr">
        <is>
          <t>SÖDERKÖPING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45365</v>
      </c>
      <c r="E94" s="1" t="n">
        <v>46263</v>
      </c>
      <c r="F94" t="inlineStr">
        <is>
          <t>ÖSTERGÖTLANDS LÄN</t>
        </is>
      </c>
      <c r="G94" t="inlineStr">
        <is>
          <t>SÖDERKÖPING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46263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46263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45295</v>
      </c>
      <c r="E97" s="1" t="n">
        <v>46263</v>
      </c>
      <c r="F97" t="inlineStr">
        <is>
          <t>ÖSTERGÖTLANDS LÄN</t>
        </is>
      </c>
      <c r="G97" t="inlineStr">
        <is>
          <t>SÖDERKÖPING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46263</v>
      </c>
      <c r="F98" t="inlineStr">
        <is>
          <t>ÖSTERGÖTLANDS LÄN</t>
        </is>
      </c>
      <c r="G98" t="inlineStr">
        <is>
          <t>SÖDERKÖPING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46263</v>
      </c>
      <c r="F99" t="inlineStr">
        <is>
          <t>ÖSTERGÖTLANDS LÄN</t>
        </is>
      </c>
      <c r="G99" t="inlineStr">
        <is>
          <t>SÖDERKÖPING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46263</v>
      </c>
      <c r="F100" t="inlineStr">
        <is>
          <t>ÖSTERGÖTLANDS LÄN</t>
        </is>
      </c>
      <c r="G100" t="inlineStr">
        <is>
          <t>SÖDERKÖPING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46263</v>
      </c>
      <c r="F101" t="inlineStr">
        <is>
          <t>ÖSTERGÖTLANDS LÄN</t>
        </is>
      </c>
      <c r="G101" t="inlineStr">
        <is>
          <t>SÖDERKÖPING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46263</v>
      </c>
      <c r="F102" t="inlineStr">
        <is>
          <t>ÖSTERGÖTLANDS LÄN</t>
        </is>
      </c>
      <c r="G102" t="inlineStr">
        <is>
          <t>SÖDERKÖPING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46263</v>
      </c>
      <c r="F103" t="inlineStr">
        <is>
          <t>ÖSTERGÖTLANDS LÄN</t>
        </is>
      </c>
      <c r="G103" t="inlineStr">
        <is>
          <t>SÖDERKÖPING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46643-2025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46263</v>
      </c>
      <c r="F104" t="inlineStr">
        <is>
          <t>ÖSTERGÖTLANDS LÄN</t>
        </is>
      </c>
      <c r="G104" t="inlineStr">
        <is>
          <t>SÖDERKÖPING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45685</v>
      </c>
      <c r="E105" s="1" t="n">
        <v>46263</v>
      </c>
      <c r="F105" t="inlineStr">
        <is>
          <t>ÖSTERGÖTLANDS LÄN</t>
        </is>
      </c>
      <c r="G105" t="inlineStr">
        <is>
          <t>SÖDERKÖPING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46263</v>
      </c>
      <c r="F106" t="inlineStr">
        <is>
          <t>ÖSTERGÖTLANDS LÄN</t>
        </is>
      </c>
      <c r="G106" t="inlineStr">
        <is>
          <t>SÖDERKÖPING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46263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46263</v>
      </c>
      <c r="F108" t="inlineStr">
        <is>
          <t>ÖSTERGÖTLANDS LÄN</t>
        </is>
      </c>
      <c r="G108" t="inlineStr">
        <is>
          <t>SÖDERKÖPING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46263</v>
      </c>
      <c r="F109" t="inlineStr">
        <is>
          <t>ÖSTERGÖTLANDS LÄN</t>
        </is>
      </c>
      <c r="G109" t="inlineStr">
        <is>
          <t>SÖDERKÖPING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46263</v>
      </c>
      <c r="F110" t="inlineStr">
        <is>
          <t>ÖSTERGÖTLANDS LÄN</t>
        </is>
      </c>
      <c r="G110" t="inlineStr">
        <is>
          <t>SÖDERKÖPING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46263</v>
      </c>
      <c r="F111" t="inlineStr">
        <is>
          <t>ÖSTERGÖTLANDS LÄN</t>
        </is>
      </c>
      <c r="G111" t="inlineStr">
        <is>
          <t>SÖDERKÖPING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46263</v>
      </c>
      <c r="F112" t="inlineStr">
        <is>
          <t>ÖSTERGÖTLANDS LÄN</t>
        </is>
      </c>
      <c r="G112" t="inlineStr">
        <is>
          <t>SÖDERKÖPING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44939</v>
      </c>
      <c r="E113" s="1" t="n">
        <v>46263</v>
      </c>
      <c r="F113" t="inlineStr">
        <is>
          <t>ÖSTERGÖTLANDS LÄN</t>
        </is>
      </c>
      <c r="G113" t="inlineStr">
        <is>
          <t>SÖDERKÖPING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46263</v>
      </c>
      <c r="F114" t="inlineStr">
        <is>
          <t>ÖSTERGÖTLANDS LÄN</t>
        </is>
      </c>
      <c r="G114" t="inlineStr">
        <is>
          <t>SÖDERKÖPING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46263</v>
      </c>
      <c r="F115" t="inlineStr">
        <is>
          <t>ÖSTERGÖTLANDS LÄN</t>
        </is>
      </c>
      <c r="G115" t="inlineStr">
        <is>
          <t>SÖDERKÖPING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46263</v>
      </c>
      <c r="F116" t="inlineStr">
        <is>
          <t>ÖSTERGÖTLANDS LÄN</t>
        </is>
      </c>
      <c r="G116" t="inlineStr">
        <is>
          <t>SÖDERKÖPING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46263</v>
      </c>
      <c r="F117" t="inlineStr">
        <is>
          <t>ÖSTERGÖTLANDS LÄN</t>
        </is>
      </c>
      <c r="G117" t="inlineStr">
        <is>
          <t>SÖDERKÖPING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46263</v>
      </c>
      <c r="F118" t="inlineStr">
        <is>
          <t>ÖSTERGÖTLANDS LÄN</t>
        </is>
      </c>
      <c r="G118" t="inlineStr">
        <is>
          <t>SÖDERKÖPING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45818</v>
      </c>
      <c r="E119" s="1" t="n">
        <v>46263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14776-2025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45742</v>
      </c>
      <c r="E120" s="1" t="n">
        <v>46263</v>
      </c>
      <c r="F120" t="inlineStr">
        <is>
          <t>ÖSTERGÖTLANDS LÄN</t>
        </is>
      </c>
      <c r="G120" t="inlineStr">
        <is>
          <t>SÖDERKÖPING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55853-2022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44888</v>
      </c>
      <c r="E121" s="1" t="n">
        <v>46263</v>
      </c>
      <c r="F121" t="inlineStr">
        <is>
          <t>ÖSTERGÖTLANDS LÄN</t>
        </is>
      </c>
      <c r="G121" t="inlineStr">
        <is>
          <t>SÖDERKÖPING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46263</v>
      </c>
      <c r="F122" t="inlineStr">
        <is>
          <t>ÖSTERGÖTLANDS LÄN</t>
        </is>
      </c>
      <c r="G122" t="inlineStr">
        <is>
          <t>SÖDERKÖPING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46263</v>
      </c>
      <c r="F123" t="inlineStr">
        <is>
          <t>ÖSTERGÖTLANDS LÄN</t>
        </is>
      </c>
      <c r="G123" t="inlineStr">
        <is>
          <t>SÖDERKÖPING</t>
        </is>
      </c>
      <c r="H123" t="inlineStr">
        <is>
          <t>Allmännings- och besparingsskogar</t>
        </is>
      </c>
      <c r="I123" t="n">
        <v>10.8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46263</v>
      </c>
      <c r="F124" t="inlineStr">
        <is>
          <t>ÖSTERGÖTLANDS LÄN</t>
        </is>
      </c>
      <c r="G124" t="inlineStr">
        <is>
          <t>SÖDERKÖPING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46263</v>
      </c>
      <c r="F125" t="inlineStr">
        <is>
          <t>ÖSTERGÖTLANDS LÄN</t>
        </is>
      </c>
      <c r="G125" t="inlineStr">
        <is>
          <t>SÖDERKÖPING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23121-2025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45791</v>
      </c>
      <c r="E126" s="1" t="n">
        <v>46263</v>
      </c>
      <c r="F126" t="inlineStr">
        <is>
          <t>ÖSTERGÖTLANDS LÄN</t>
        </is>
      </c>
      <c r="G126" t="inlineStr">
        <is>
          <t>SÖDERKÖPING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46003</v>
      </c>
      <c r="E127" s="1" t="n">
        <v>46263</v>
      </c>
      <c r="F127" t="inlineStr">
        <is>
          <t>ÖSTERGÖTLANDS LÄN</t>
        </is>
      </c>
      <c r="G127" t="inlineStr">
        <is>
          <t>SÖDERKÖPING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46263</v>
      </c>
      <c r="F128" t="inlineStr">
        <is>
          <t>ÖSTERGÖTLANDS LÄN</t>
        </is>
      </c>
      <c r="G128" t="inlineStr">
        <is>
          <t>SÖDERKÖPING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46003</v>
      </c>
      <c r="E129" s="1" t="n">
        <v>46263</v>
      </c>
      <c r="F129" t="inlineStr">
        <is>
          <t>ÖSTERGÖTLANDS LÄN</t>
        </is>
      </c>
      <c r="G129" t="inlineStr">
        <is>
          <t>SÖDERKÖPING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45344</v>
      </c>
      <c r="E130" s="1" t="n">
        <v>46263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46263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46263</v>
      </c>
      <c r="F132" t="inlineStr">
        <is>
          <t>ÖSTERGÖTLANDS LÄN</t>
        </is>
      </c>
      <c r="G132" t="inlineStr">
        <is>
          <t>SÖDERKÖPING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44572</v>
      </c>
      <c r="E133" s="1" t="n">
        <v>46263</v>
      </c>
      <c r="F133" t="inlineStr">
        <is>
          <t>ÖSTERGÖTLANDS LÄN</t>
        </is>
      </c>
      <c r="G133" t="inlineStr">
        <is>
          <t>SÖDERKÖPING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46263</v>
      </c>
      <c r="F134" t="inlineStr">
        <is>
          <t>ÖSTERGÖTLANDS LÄN</t>
        </is>
      </c>
      <c r="G134" t="inlineStr">
        <is>
          <t>SÖDERKÖPING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44736</v>
      </c>
      <c r="E135" s="1" t="n">
        <v>46263</v>
      </c>
      <c r="F135" t="inlineStr">
        <is>
          <t>ÖSTERGÖTLANDS LÄN</t>
        </is>
      </c>
      <c r="G135" t="inlineStr">
        <is>
          <t>SÖDERKÖPING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46263</v>
      </c>
      <c r="F136" t="inlineStr">
        <is>
          <t>ÖSTERGÖTLANDS LÄN</t>
        </is>
      </c>
      <c r="G136" t="inlineStr">
        <is>
          <t>SÖDERKÖPING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45293</v>
      </c>
      <c r="E137" s="1" t="n">
        <v>46263</v>
      </c>
      <c r="F137" t="inlineStr">
        <is>
          <t>ÖSTERGÖTLANDS LÄN</t>
        </is>
      </c>
      <c r="G137" t="inlineStr">
        <is>
          <t>SÖDERKÖPING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45736</v>
      </c>
      <c r="E138" s="1" t="n">
        <v>46263</v>
      </c>
      <c r="F138" t="inlineStr">
        <is>
          <t>ÖSTERGÖTLANDS LÄN</t>
        </is>
      </c>
      <c r="G138" t="inlineStr">
        <is>
          <t>SÖDERKÖPING</t>
        </is>
      </c>
      <c r="H138" t="inlineStr">
        <is>
          <t>Holmen skog AB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45586</v>
      </c>
      <c r="E139" s="1" t="n">
        <v>46263</v>
      </c>
      <c r="F139" t="inlineStr">
        <is>
          <t>ÖSTERGÖTLANDS LÄN</t>
        </is>
      </c>
      <c r="G139" t="inlineStr">
        <is>
          <t>SÖDERKÖPING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44956</v>
      </c>
      <c r="E140" s="1" t="n">
        <v>46263</v>
      </c>
      <c r="F140" t="inlineStr">
        <is>
          <t>ÖSTERGÖTLANDS LÄN</t>
        </is>
      </c>
      <c r="G140" t="inlineStr">
        <is>
          <t>SÖDERKÖPING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44958</v>
      </c>
      <c r="E141" s="1" t="n">
        <v>46263</v>
      </c>
      <c r="F141" t="inlineStr">
        <is>
          <t>ÖSTERGÖTLANDS LÄN</t>
        </is>
      </c>
      <c r="G141" t="inlineStr">
        <is>
          <t>SÖDERKÖPING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45106</v>
      </c>
      <c r="E142" s="1" t="n">
        <v>46263</v>
      </c>
      <c r="F142" t="inlineStr">
        <is>
          <t>ÖSTERGÖTLANDS LÄN</t>
        </is>
      </c>
      <c r="G142" t="inlineStr">
        <is>
          <t>SÖDERKÖPING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46263</v>
      </c>
      <c r="F143" t="inlineStr">
        <is>
          <t>ÖSTERGÖTLANDS LÄN</t>
        </is>
      </c>
      <c r="G143" t="inlineStr">
        <is>
          <t>SÖDERKÖPING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46263</v>
      </c>
      <c r="F144" t="inlineStr">
        <is>
          <t>ÖSTERGÖTLANDS LÄN</t>
        </is>
      </c>
      <c r="G144" t="inlineStr">
        <is>
          <t>SÖDERKÖPING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46008</v>
      </c>
      <c r="E145" s="1" t="n">
        <v>46263</v>
      </c>
      <c r="F145" t="inlineStr">
        <is>
          <t>ÖSTERGÖTLANDS LÄN</t>
        </is>
      </c>
      <c r="G145" t="inlineStr">
        <is>
          <t>SÖDERKÖPING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44956</v>
      </c>
      <c r="E146" s="1" t="n">
        <v>46263</v>
      </c>
      <c r="F146" t="inlineStr">
        <is>
          <t>ÖSTERGÖTLANDS LÄN</t>
        </is>
      </c>
      <c r="G146" t="inlineStr">
        <is>
          <t>SÖDERKÖPING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46008</v>
      </c>
      <c r="E147" s="1" t="n">
        <v>46263</v>
      </c>
      <c r="F147" t="inlineStr">
        <is>
          <t>ÖSTERGÖTLANDS LÄN</t>
        </is>
      </c>
      <c r="G147" t="inlineStr">
        <is>
          <t>SÖDERKÖPING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45663</v>
      </c>
      <c r="E148" s="1" t="n">
        <v>46263</v>
      </c>
      <c r="F148" t="inlineStr">
        <is>
          <t>ÖSTERGÖTLANDS LÄN</t>
        </is>
      </c>
      <c r="G148" t="inlineStr">
        <is>
          <t>SÖDERKÖPING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26058-2022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44734</v>
      </c>
      <c r="E149" s="1" t="n">
        <v>46263</v>
      </c>
      <c r="F149" t="inlineStr">
        <is>
          <t>ÖSTERGÖTLANDS LÄN</t>
        </is>
      </c>
      <c r="G149" t="inlineStr">
        <is>
          <t>SÖDERKÖPING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46263</v>
      </c>
      <c r="F150" t="inlineStr">
        <is>
          <t>ÖSTERGÖTLANDS LÄN</t>
        </is>
      </c>
      <c r="G150" t="inlineStr">
        <is>
          <t>SÖDERKÖPING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46263</v>
      </c>
      <c r="F151" t="inlineStr">
        <is>
          <t>ÖSTERGÖTLANDS LÄN</t>
        </is>
      </c>
      <c r="G151" t="inlineStr">
        <is>
          <t>SÖDERKÖPING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46263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Allmännings- och besparingsskogar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60160-2021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44495</v>
      </c>
      <c r="E153" s="1" t="n">
        <v>46263</v>
      </c>
      <c r="F153" t="inlineStr">
        <is>
          <t>ÖSTERGÖTLANDS LÄN</t>
        </is>
      </c>
      <c r="G153" t="inlineStr">
        <is>
          <t>SÖDERKÖPING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46263</v>
      </c>
      <c r="F154" t="inlineStr">
        <is>
          <t>ÖSTERGÖTLANDS LÄN</t>
        </is>
      </c>
      <c r="G154" t="inlineStr">
        <is>
          <t>SÖDERKÖPING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46263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45751</v>
      </c>
      <c r="E156" s="1" t="n">
        <v>46263</v>
      </c>
      <c r="F156" t="inlineStr">
        <is>
          <t>ÖSTERGÖTLANDS LÄN</t>
        </is>
      </c>
      <c r="G156" t="inlineStr">
        <is>
          <t>SÖDERKÖPING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46263</v>
      </c>
      <c r="F157" t="inlineStr">
        <is>
          <t>ÖSTERGÖTLANDS LÄN</t>
        </is>
      </c>
      <c r="G157" t="inlineStr">
        <is>
          <t>SÖDERKÖPING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44953</v>
      </c>
      <c r="E158" s="1" t="n">
        <v>46263</v>
      </c>
      <c r="F158" t="inlineStr">
        <is>
          <t>ÖSTERGÖTLANDS LÄN</t>
        </is>
      </c>
      <c r="G158" t="inlineStr">
        <is>
          <t>SÖDERKÖPING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46263</v>
      </c>
      <c r="F159" t="inlineStr">
        <is>
          <t>ÖSTERGÖTLANDS LÄN</t>
        </is>
      </c>
      <c r="G159" t="inlineStr">
        <is>
          <t>SÖDERKÖPING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20221-2023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45055</v>
      </c>
      <c r="E160" s="1" t="n">
        <v>46263</v>
      </c>
      <c r="F160" t="inlineStr">
        <is>
          <t>ÖSTERGÖTLANDS LÄN</t>
        </is>
      </c>
      <c r="G160" t="inlineStr">
        <is>
          <t>SÖDERKÖPING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46263</v>
      </c>
      <c r="F161" t="inlineStr">
        <is>
          <t>ÖSTERGÖTLANDS LÄN</t>
        </is>
      </c>
      <c r="G161" t="inlineStr">
        <is>
          <t>SÖDERKÖPING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46263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13792-2025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46263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Holmen skog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46263</v>
      </c>
      <c r="F164" t="inlineStr">
        <is>
          <t>ÖSTERGÖTLANDS LÄN</t>
        </is>
      </c>
      <c r="G164" t="inlineStr">
        <is>
          <t>SÖDERKÖPING</t>
        </is>
      </c>
      <c r="H164" t="inlineStr">
        <is>
          <t>Kyrkan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45754</v>
      </c>
      <c r="E165" s="1" t="n">
        <v>46263</v>
      </c>
      <c r="F165" t="inlineStr">
        <is>
          <t>ÖSTERGÖTLANDS LÄN</t>
        </is>
      </c>
      <c r="G165" t="inlineStr">
        <is>
          <t>SÖDERKÖPING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46263</v>
      </c>
      <c r="F166" t="inlineStr">
        <is>
          <t>ÖSTERGÖTLANDS LÄN</t>
        </is>
      </c>
      <c r="G166" t="inlineStr">
        <is>
          <t>SÖDERKÖPING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46263</v>
      </c>
      <c r="F167" t="inlineStr">
        <is>
          <t>ÖSTERGÖTLANDS LÄN</t>
        </is>
      </c>
      <c r="G167" t="inlineStr">
        <is>
          <t>SÖDERKÖPING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46263</v>
      </c>
      <c r="F168" t="inlineStr">
        <is>
          <t>ÖSTERGÖTLANDS LÄN</t>
        </is>
      </c>
      <c r="G168" t="inlineStr">
        <is>
          <t>SÖDERKÖPING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46263</v>
      </c>
      <c r="F169" t="inlineStr">
        <is>
          <t>ÖSTERGÖTLANDS LÄN</t>
        </is>
      </c>
      <c r="G169" t="inlineStr">
        <is>
          <t>SÖDERKÖPING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46056</v>
      </c>
      <c r="E170" s="1" t="n">
        <v>46263</v>
      </c>
      <c r="F170" t="inlineStr">
        <is>
          <t>ÖSTERGÖTLANDS LÄN</t>
        </is>
      </c>
      <c r="G170" t="inlineStr">
        <is>
          <t>SÖDERKÖPING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46263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Kyrkan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66075-2021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44517</v>
      </c>
      <c r="E172" s="1" t="n">
        <v>46263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Kyrkan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46263</v>
      </c>
      <c r="F173" t="inlineStr">
        <is>
          <t>ÖSTERGÖTLANDS LÄN</t>
        </is>
      </c>
      <c r="G173" t="inlineStr">
        <is>
          <t>SÖDERKÖPING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46263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46263</v>
      </c>
      <c r="F175" t="inlineStr">
        <is>
          <t>ÖSTERGÖTLANDS LÄN</t>
        </is>
      </c>
      <c r="G175" t="inlineStr">
        <is>
          <t>SÖDERKÖPING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46263</v>
      </c>
      <c r="F176" t="inlineStr">
        <is>
          <t>ÖSTERGÖTLANDS LÄN</t>
        </is>
      </c>
      <c r="G176" t="inlineStr">
        <is>
          <t>SÖDERKÖPING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46263</v>
      </c>
      <c r="F177" t="inlineStr">
        <is>
          <t>ÖSTERGÖTLANDS LÄN</t>
        </is>
      </c>
      <c r="G177" t="inlineStr">
        <is>
          <t>SÖDERKÖPING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46263</v>
      </c>
      <c r="F178" t="inlineStr">
        <is>
          <t>ÖSTERGÖTLANDS LÄN</t>
        </is>
      </c>
      <c r="G178" t="inlineStr">
        <is>
          <t>SÖDERKÖPING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46061</v>
      </c>
      <c r="E179" s="1" t="n">
        <v>46263</v>
      </c>
      <c r="F179" t="inlineStr">
        <is>
          <t>ÖSTERGÖTLANDS LÄN</t>
        </is>
      </c>
      <c r="G179" t="inlineStr">
        <is>
          <t>SÖDERKÖPING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46263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46263</v>
      </c>
      <c r="F181" t="inlineStr">
        <is>
          <t>ÖSTERGÖTLANDS LÄN</t>
        </is>
      </c>
      <c r="G181" t="inlineStr">
        <is>
          <t>SÖDERKÖPING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46263</v>
      </c>
      <c r="F182" t="inlineStr">
        <is>
          <t>ÖSTERGÖTLANDS LÄN</t>
        </is>
      </c>
      <c r="G182" t="inlineStr">
        <is>
          <t>SÖDERKÖPING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45601</v>
      </c>
      <c r="E183" s="1" t="n">
        <v>46263</v>
      </c>
      <c r="F183" t="inlineStr">
        <is>
          <t>ÖSTERGÖTLANDS LÄN</t>
        </is>
      </c>
      <c r="G183" t="inlineStr">
        <is>
          <t>SÖDERKÖPING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44964</v>
      </c>
      <c r="E184" s="1" t="n">
        <v>46263</v>
      </c>
      <c r="F184" t="inlineStr">
        <is>
          <t>ÖSTERGÖTLANDS LÄN</t>
        </is>
      </c>
      <c r="G184" t="inlineStr">
        <is>
          <t>SÖDERKÖPING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46263</v>
      </c>
      <c r="F185" t="inlineStr">
        <is>
          <t>ÖSTERGÖTLANDS LÄN</t>
        </is>
      </c>
      <c r="G185" t="inlineStr">
        <is>
          <t>SÖDERKÖPING</t>
        </is>
      </c>
      <c r="H185" t="inlineStr">
        <is>
          <t>Allmännings- och besparingsskogar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46263</v>
      </c>
      <c r="F186" t="inlineStr">
        <is>
          <t>ÖSTERGÖTLANDS LÄN</t>
        </is>
      </c>
      <c r="G186" t="inlineStr">
        <is>
          <t>SÖDERKÖPING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46069</v>
      </c>
      <c r="E187" s="1" t="n">
        <v>46263</v>
      </c>
      <c r="F187" t="inlineStr">
        <is>
          <t>ÖSTERGÖTLANDS LÄN</t>
        </is>
      </c>
      <c r="G187" t="inlineStr">
        <is>
          <t>SÖDERKÖPING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46263</v>
      </c>
      <c r="F188" t="inlineStr">
        <is>
          <t>ÖSTERGÖTLANDS LÄN</t>
        </is>
      </c>
      <c r="G188" t="inlineStr">
        <is>
          <t>SÖDERKÖPING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46263</v>
      </c>
      <c r="F189" t="inlineStr">
        <is>
          <t>ÖSTERGÖTLANDS LÄN</t>
        </is>
      </c>
      <c r="G189" t="inlineStr">
        <is>
          <t>SÖDERKÖPING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11005-2026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46079</v>
      </c>
      <c r="E190" s="1" t="n">
        <v>46263</v>
      </c>
      <c r="F190" t="inlineStr">
        <is>
          <t>ÖSTERGÖTLANDS LÄN</t>
        </is>
      </c>
      <c r="G190" t="inlineStr">
        <is>
          <t>SÖDERKÖPING</t>
        </is>
      </c>
      <c r="H190" t="inlineStr">
        <is>
          <t>Kyrkan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45379</v>
      </c>
      <c r="E191" s="1" t="n">
        <v>46263</v>
      </c>
      <c r="F191" t="inlineStr">
        <is>
          <t>ÖSTERGÖTLANDS LÄN</t>
        </is>
      </c>
      <c r="G191" t="inlineStr">
        <is>
          <t>SÖDERKÖPING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46263</v>
      </c>
      <c r="F192" t="inlineStr">
        <is>
          <t>ÖSTERGÖTLANDS LÄN</t>
        </is>
      </c>
      <c r="G192" t="inlineStr">
        <is>
          <t>SÖDERKÖPING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46263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49569-2022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46263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46263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46263</v>
      </c>
      <c r="F196" t="inlineStr">
        <is>
          <t>ÖSTERGÖTLANDS LÄN</t>
        </is>
      </c>
      <c r="G196" t="inlineStr">
        <is>
          <t>SÖDERKÖPING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46263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46263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46263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46263</v>
      </c>
      <c r="F200" t="inlineStr">
        <is>
          <t>ÖSTERGÖTLANDS LÄN</t>
        </is>
      </c>
      <c r="G200" t="inlineStr">
        <is>
          <t>SÖDERKÖPING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46263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45097</v>
      </c>
      <c r="E202" s="1" t="n">
        <v>46263</v>
      </c>
      <c r="F202" t="inlineStr">
        <is>
          <t>ÖSTERGÖTLANDS LÄN</t>
        </is>
      </c>
      <c r="G202" t="inlineStr">
        <is>
          <t>SÖDERKÖPING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46263</v>
      </c>
      <c r="F203" t="inlineStr">
        <is>
          <t>ÖSTERGÖTLANDS LÄN</t>
        </is>
      </c>
      <c r="G203" t="inlineStr">
        <is>
          <t>SÖDERKÖPING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46100</v>
      </c>
      <c r="E204" s="1" t="n">
        <v>46263</v>
      </c>
      <c r="F204" t="inlineStr">
        <is>
          <t>ÖSTERGÖTLANDS LÄN</t>
        </is>
      </c>
      <c r="G204" t="inlineStr">
        <is>
          <t>SÖDERKÖPING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14777-2026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46101</v>
      </c>
      <c r="E205" s="1" t="n">
        <v>46263</v>
      </c>
      <c r="F205" t="inlineStr">
        <is>
          <t>ÖSTERGÖTLANDS LÄN</t>
        </is>
      </c>
      <c r="G205" t="inlineStr">
        <is>
          <t>SÖDERKÖPING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14776-2026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46101</v>
      </c>
      <c r="E206" s="1" t="n">
        <v>46263</v>
      </c>
      <c r="F206" t="inlineStr">
        <is>
          <t>ÖSTERGÖTLANDS LÄN</t>
        </is>
      </c>
      <c r="G206" t="inlineStr">
        <is>
          <t>SÖDERKÖPING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46263</v>
      </c>
      <c r="F207" t="inlineStr">
        <is>
          <t>ÖSTERGÖTLANDS LÄN</t>
        </is>
      </c>
      <c r="G207" t="inlineStr">
        <is>
          <t>SÖDERKÖPING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46263</v>
      </c>
      <c r="F208" t="inlineStr">
        <is>
          <t>ÖSTERGÖTLANDS LÄN</t>
        </is>
      </c>
      <c r="G208" t="inlineStr">
        <is>
          <t>SÖDERKÖPING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46263</v>
      </c>
      <c r="F209" t="inlineStr">
        <is>
          <t>ÖSTERGÖTLANDS LÄN</t>
        </is>
      </c>
      <c r="G209" t="inlineStr">
        <is>
          <t>SÖDERKÖPING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46263</v>
      </c>
      <c r="F210" t="inlineStr">
        <is>
          <t>ÖSTERGÖTLANDS LÄN</t>
        </is>
      </c>
      <c r="G210" t="inlineStr">
        <is>
          <t>SÖDERKÖPING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46263</v>
      </c>
      <c r="F211" t="inlineStr">
        <is>
          <t>ÖSTERGÖTLANDS LÄN</t>
        </is>
      </c>
      <c r="G211" t="inlineStr">
        <is>
          <t>SÖDERKÖPING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46263</v>
      </c>
      <c r="F212" t="inlineStr">
        <is>
          <t>ÖSTERGÖTLANDS LÄN</t>
        </is>
      </c>
      <c r="G212" t="inlineStr">
        <is>
          <t>SÖDERKÖPING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46263</v>
      </c>
      <c r="F213" t="inlineStr">
        <is>
          <t>ÖSTERGÖTLANDS LÄN</t>
        </is>
      </c>
      <c r="G213" t="inlineStr">
        <is>
          <t>SÖDERKÖPING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46263</v>
      </c>
      <c r="F214" t="inlineStr">
        <is>
          <t>ÖSTERGÖTLANDS LÄN</t>
        </is>
      </c>
      <c r="G214" t="inlineStr">
        <is>
          <t>SÖDERKÖPING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46263</v>
      </c>
      <c r="F215" t="inlineStr">
        <is>
          <t>ÖSTERGÖTLANDS LÄN</t>
        </is>
      </c>
      <c r="G215" t="inlineStr">
        <is>
          <t>SÖDERKÖPING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46263</v>
      </c>
      <c r="F216" t="inlineStr">
        <is>
          <t>ÖSTERGÖTLANDS LÄN</t>
        </is>
      </c>
      <c r="G216" t="inlineStr">
        <is>
          <t>SÖDERKÖPING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46263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Kyrkan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46263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45190</v>
      </c>
      <c r="E219" s="1" t="n">
        <v>46263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46263</v>
      </c>
      <c r="F220" t="inlineStr">
        <is>
          <t>ÖSTERGÖTLANDS LÄN</t>
        </is>
      </c>
      <c r="G220" t="inlineStr">
        <is>
          <t>SÖDERKÖPING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46263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44618</v>
      </c>
      <c r="E222" s="1" t="n">
        <v>46263</v>
      </c>
      <c r="F222" t="inlineStr">
        <is>
          <t>ÖSTERGÖTLANDS LÄN</t>
        </is>
      </c>
      <c r="G222" t="inlineStr">
        <is>
          <t>SÖDERKÖPING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44711</v>
      </c>
      <c r="E223" s="1" t="n">
        <v>46263</v>
      </c>
      <c r="F223" t="inlineStr">
        <is>
          <t>ÖSTERGÖTLANDS LÄN</t>
        </is>
      </c>
      <c r="G223" t="inlineStr">
        <is>
          <t>SÖDERKÖPING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45211</v>
      </c>
      <c r="E224" s="1" t="n">
        <v>46263</v>
      </c>
      <c r="F224" t="inlineStr">
        <is>
          <t>ÖSTERGÖTLANDS LÄN</t>
        </is>
      </c>
      <c r="G224" t="inlineStr">
        <is>
          <t>SÖDERKÖPING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46263</v>
      </c>
      <c r="F225" t="inlineStr">
        <is>
          <t>ÖSTERGÖTLANDS LÄN</t>
        </is>
      </c>
      <c r="G225" t="inlineStr">
        <is>
          <t>SÖDERKÖPING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45684</v>
      </c>
      <c r="E226" s="1" t="n">
        <v>46263</v>
      </c>
      <c r="F226" t="inlineStr">
        <is>
          <t>ÖSTERGÖTLANDS LÄN</t>
        </is>
      </c>
      <c r="G226" t="inlineStr">
        <is>
          <t>SÖDERKÖPING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46263</v>
      </c>
      <c r="F227" t="inlineStr">
        <is>
          <t>ÖSTERGÖTLANDS LÄN</t>
        </is>
      </c>
      <c r="G227" t="inlineStr">
        <is>
          <t>SÖDERKÖPING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45174</v>
      </c>
      <c r="E228" s="1" t="n">
        <v>46263</v>
      </c>
      <c r="F228" t="inlineStr">
        <is>
          <t>ÖSTERGÖTLANDS LÄN</t>
        </is>
      </c>
      <c r="G228" t="inlineStr">
        <is>
          <t>SÖDERKÖPING</t>
        </is>
      </c>
      <c r="I228" t="n">
        <v>15.3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46263</v>
      </c>
      <c r="F229" t="inlineStr">
        <is>
          <t>ÖSTERGÖTLANDS LÄN</t>
        </is>
      </c>
      <c r="G229" t="inlineStr">
        <is>
          <t>SÖDERKÖPING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46263</v>
      </c>
      <c r="F230" t="inlineStr">
        <is>
          <t>ÖSTERGÖTLANDS LÄN</t>
        </is>
      </c>
      <c r="G230" t="inlineStr">
        <is>
          <t>SÖDERKÖPING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45734</v>
      </c>
      <c r="E231" s="1" t="n">
        <v>46263</v>
      </c>
      <c r="F231" t="inlineStr">
        <is>
          <t>ÖSTERGÖTLANDS LÄN</t>
        </is>
      </c>
      <c r="G231" t="inlineStr">
        <is>
          <t>SÖDERKÖPING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46263</v>
      </c>
      <c r="F232" t="inlineStr">
        <is>
          <t>ÖSTERGÖTLANDS LÄN</t>
        </is>
      </c>
      <c r="G232" t="inlineStr">
        <is>
          <t>SÖDERKÖPING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46263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45756</v>
      </c>
      <c r="E234" s="1" t="n">
        <v>46263</v>
      </c>
      <c r="F234" t="inlineStr">
        <is>
          <t>ÖSTERGÖTLANDS LÄN</t>
        </is>
      </c>
      <c r="G234" t="inlineStr">
        <is>
          <t>SÖDERKÖPING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46263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45250</v>
      </c>
      <c r="E236" s="1" t="n">
        <v>46263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47368-2021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44447</v>
      </c>
      <c r="E237" s="1" t="n">
        <v>46263</v>
      </c>
      <c r="F237" t="inlineStr">
        <is>
          <t>ÖSTERGÖTLANDS LÄN</t>
        </is>
      </c>
      <c r="G237" t="inlineStr">
        <is>
          <t>SÖDERKÖPING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46263</v>
      </c>
      <c r="F238" t="inlineStr">
        <is>
          <t>ÖSTERGÖTLANDS LÄN</t>
        </is>
      </c>
      <c r="G238" t="inlineStr">
        <is>
          <t>SÖDERKÖPING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46263</v>
      </c>
      <c r="F239" t="inlineStr">
        <is>
          <t>ÖSTERGÖTLANDS LÄN</t>
        </is>
      </c>
      <c r="G239" t="inlineStr">
        <is>
          <t>SÖDERKÖPING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45169</v>
      </c>
      <c r="E240" s="1" t="n">
        <v>46263</v>
      </c>
      <c r="F240" t="inlineStr">
        <is>
          <t>ÖSTERGÖTLANDS LÄN</t>
        </is>
      </c>
      <c r="G240" t="inlineStr">
        <is>
          <t>SÖDERKÖPING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46263</v>
      </c>
      <c r="F241" t="inlineStr">
        <is>
          <t>ÖSTERGÖTLANDS LÄN</t>
        </is>
      </c>
      <c r="G241" t="inlineStr">
        <is>
          <t>SÖDERKÖPING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46263</v>
      </c>
      <c r="F242" t="inlineStr">
        <is>
          <t>ÖSTERGÖTLANDS LÄN</t>
        </is>
      </c>
      <c r="G242" t="inlineStr">
        <is>
          <t>SÖDERKÖPING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29660-2022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44754</v>
      </c>
      <c r="E243" s="1" t="n">
        <v>46263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45297</v>
      </c>
      <c r="E244" s="1" t="n">
        <v>46263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45254</v>
      </c>
      <c r="E245" s="1" t="n">
        <v>46263</v>
      </c>
      <c r="F245" t="inlineStr">
        <is>
          <t>ÖSTERGÖTLANDS LÄN</t>
        </is>
      </c>
      <c r="G245" t="inlineStr">
        <is>
          <t>SÖDERKÖPING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45265</v>
      </c>
      <c r="E246" s="1" t="n">
        <v>46263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45782</v>
      </c>
      <c r="E247" s="1" t="n">
        <v>46263</v>
      </c>
      <c r="F247" t="inlineStr">
        <is>
          <t>ÖSTERGÖTLANDS LÄN</t>
        </is>
      </c>
      <c r="G247" t="inlineStr">
        <is>
          <t>SÖDERKÖPING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45736</v>
      </c>
      <c r="E248" s="1" t="n">
        <v>46263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Holmen skog AB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54787-2022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44883</v>
      </c>
      <c r="E249" s="1" t="n">
        <v>46263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46263</v>
      </c>
      <c r="F250" t="inlineStr">
        <is>
          <t>ÖSTERGÖTLANDS LÄN</t>
        </is>
      </c>
      <c r="G250" t="inlineStr">
        <is>
          <t>SÖDERKÖPING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45187</v>
      </c>
      <c r="E251" s="1" t="n">
        <v>46263</v>
      </c>
      <c r="F251" t="inlineStr">
        <is>
          <t>ÖSTERGÖTLANDS LÄN</t>
        </is>
      </c>
      <c r="G251" t="inlineStr">
        <is>
          <t>SÖDERKÖPING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44775</v>
      </c>
      <c r="E252" s="1" t="n">
        <v>46263</v>
      </c>
      <c r="F252" t="inlineStr">
        <is>
          <t>ÖSTERGÖTLANDS LÄN</t>
        </is>
      </c>
      <c r="G252" t="inlineStr">
        <is>
          <t>SÖDERKÖPING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46263</v>
      </c>
      <c r="F253" t="inlineStr">
        <is>
          <t>ÖSTERGÖTLANDS LÄN</t>
        </is>
      </c>
      <c r="G253" t="inlineStr">
        <is>
          <t>SÖDERKÖPING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46263</v>
      </c>
      <c r="F254" t="inlineStr">
        <is>
          <t>ÖSTERGÖTLANDS LÄN</t>
        </is>
      </c>
      <c r="G254" t="inlineStr">
        <is>
          <t>SÖDERKÖPING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46263</v>
      </c>
      <c r="F255" t="inlineStr">
        <is>
          <t>ÖSTERGÖTLANDS LÄN</t>
        </is>
      </c>
      <c r="G255" t="inlineStr">
        <is>
          <t>SÖDERKÖPING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46263</v>
      </c>
      <c r="F256" t="inlineStr">
        <is>
          <t>ÖSTERGÖTLANDS LÄN</t>
        </is>
      </c>
      <c r="G256" t="inlineStr">
        <is>
          <t>SÖDERKÖPING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69425-2021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44531</v>
      </c>
      <c r="E257" s="1" t="n">
        <v>46263</v>
      </c>
      <c r="F257" t="inlineStr">
        <is>
          <t>ÖSTERGÖTLANDS LÄN</t>
        </is>
      </c>
      <c r="G257" t="inlineStr">
        <is>
          <t>SÖDERKÖPING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64825-2023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45282</v>
      </c>
      <c r="E258" s="1" t="n">
        <v>46263</v>
      </c>
      <c r="F258" t="inlineStr">
        <is>
          <t>ÖSTERGÖTLANDS LÄN</t>
        </is>
      </c>
      <c r="G258" t="inlineStr">
        <is>
          <t>SÖDERKÖPING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46263</v>
      </c>
      <c r="F259" t="inlineStr">
        <is>
          <t>ÖSTERGÖTLANDS LÄN</t>
        </is>
      </c>
      <c r="G259" t="inlineStr">
        <is>
          <t>SÖDERKÖPING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44951</v>
      </c>
      <c r="E260" s="1" t="n">
        <v>46263</v>
      </c>
      <c r="F260" t="inlineStr">
        <is>
          <t>ÖSTERGÖTLANDS LÄN</t>
        </is>
      </c>
      <c r="G260" t="inlineStr">
        <is>
          <t>SÖDERKÖPING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45215</v>
      </c>
      <c r="E261" s="1" t="n">
        <v>46263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66362-2021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44518</v>
      </c>
      <c r="E262" s="1" t="n">
        <v>46263</v>
      </c>
      <c r="F262" t="inlineStr">
        <is>
          <t>ÖSTERGÖTLANDS LÄN</t>
        </is>
      </c>
      <c r="G262" t="inlineStr">
        <is>
          <t>SÖDERKÖPING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46263</v>
      </c>
      <c r="F263" t="inlineStr">
        <is>
          <t>ÖSTERGÖTLANDS LÄN</t>
        </is>
      </c>
      <c r="G263" t="inlineStr">
        <is>
          <t>SÖDERKÖPING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48395-2021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44452</v>
      </c>
      <c r="E264" s="1" t="n">
        <v>46263</v>
      </c>
      <c r="F264" t="inlineStr">
        <is>
          <t>ÖSTERGÖTLANDS LÄN</t>
        </is>
      </c>
      <c r="G264" t="inlineStr">
        <is>
          <t>SÖDERKÖPING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46263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Allmännings- och besparingsskogar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44753</v>
      </c>
      <c r="E266" s="1" t="n">
        <v>46263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46263</v>
      </c>
      <c r="F267" t="inlineStr">
        <is>
          <t>ÖSTERGÖTLANDS LÄN</t>
        </is>
      </c>
      <c r="G267" t="inlineStr">
        <is>
          <t>SÖDERKÖPING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45061</v>
      </c>
      <c r="E268" s="1" t="n">
        <v>46263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46263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Allmännings- och besparingsskogar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46263</v>
      </c>
      <c r="F270" t="inlineStr">
        <is>
          <t>ÖSTERGÖTLANDS LÄN</t>
        </is>
      </c>
      <c r="G270" t="inlineStr">
        <is>
          <t>SÖDERKÖPING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53889-2021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46263</v>
      </c>
      <c r="F271" t="inlineStr">
        <is>
          <t>ÖSTERGÖTLANDS LÄN</t>
        </is>
      </c>
      <c r="G271" t="inlineStr">
        <is>
          <t>SÖDERKÖPING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25790-2023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45090</v>
      </c>
      <c r="E272" s="1" t="n">
        <v>46263</v>
      </c>
      <c r="F272" t="inlineStr">
        <is>
          <t>ÖSTERGÖTLANDS LÄN</t>
        </is>
      </c>
      <c r="G272" t="inlineStr">
        <is>
          <t>SÖDERKÖPING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46263</v>
      </c>
      <c r="F273" t="inlineStr">
        <is>
          <t>ÖSTERGÖTLANDS LÄN</t>
        </is>
      </c>
      <c r="G273" t="inlineStr">
        <is>
          <t>SÖDERKÖPING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46263</v>
      </c>
      <c r="F274" t="inlineStr">
        <is>
          <t>ÖSTERGÖTLANDS LÄN</t>
        </is>
      </c>
      <c r="G274" t="inlineStr">
        <is>
          <t>SÖDERKÖPING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7902-2025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46263</v>
      </c>
      <c r="F275" t="inlineStr">
        <is>
          <t>ÖSTERGÖTLANDS LÄN</t>
        </is>
      </c>
      <c r="G275" t="inlineStr">
        <is>
          <t>SÖDERKÖPING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20301-2026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46263</v>
      </c>
      <c r="F276" t="inlineStr">
        <is>
          <t>ÖSTERGÖTLANDS LÄN</t>
        </is>
      </c>
      <c r="G276" t="inlineStr">
        <is>
          <t>SÖDERKÖPING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46263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46263</v>
      </c>
      <c r="F278" t="inlineStr">
        <is>
          <t>ÖSTERGÖTLANDS LÄN</t>
        </is>
      </c>
      <c r="G278" t="inlineStr">
        <is>
          <t>SÖDERKÖPING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45504</v>
      </c>
      <c r="E279" s="1" t="n">
        <v>46263</v>
      </c>
      <c r="F279" t="inlineStr">
        <is>
          <t>ÖSTERGÖTLANDS LÄN</t>
        </is>
      </c>
      <c r="G279" t="inlineStr">
        <is>
          <t>SÖDERKÖPING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46263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46263</v>
      </c>
      <c r="F281" t="inlineStr">
        <is>
          <t>ÖSTERGÖTLANDS LÄN</t>
        </is>
      </c>
      <c r="G281" t="inlineStr">
        <is>
          <t>SÖDERKÖPING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46263</v>
      </c>
      <c r="F282" t="inlineStr">
        <is>
          <t>ÖSTERGÖTLANDS LÄN</t>
        </is>
      </c>
      <c r="G282" t="inlineStr">
        <is>
          <t>SÖDERKÖPING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46263</v>
      </c>
      <c r="F283" t="inlineStr">
        <is>
          <t>ÖSTERGÖTLANDS LÄN</t>
        </is>
      </c>
      <c r="G283" t="inlineStr">
        <is>
          <t>SÖDERKÖPING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61802-2022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46263</v>
      </c>
      <c r="F284" t="inlineStr">
        <is>
          <t>ÖSTERGÖTLANDS LÄN</t>
        </is>
      </c>
      <c r="G284" t="inlineStr">
        <is>
          <t>SÖDERKÖPING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46263</v>
      </c>
      <c r="F285" t="inlineStr">
        <is>
          <t>ÖSTERGÖTLANDS LÄN</t>
        </is>
      </c>
      <c r="G285" t="inlineStr">
        <is>
          <t>SÖDERKÖPING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45169</v>
      </c>
      <c r="E286" s="1" t="n">
        <v>46263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46263</v>
      </c>
      <c r="F287" t="inlineStr">
        <is>
          <t>ÖSTERGÖTLANDS LÄN</t>
        </is>
      </c>
      <c r="G287" t="inlineStr">
        <is>
          <t>SÖDERKÖPING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58223-2022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44901</v>
      </c>
      <c r="E288" s="1" t="n">
        <v>46263</v>
      </c>
      <c r="F288" t="inlineStr">
        <is>
          <t>ÖSTERGÖTLANDS LÄN</t>
        </is>
      </c>
      <c r="G288" t="inlineStr">
        <is>
          <t>SÖDERKÖPING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46263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45180</v>
      </c>
      <c r="E290" s="1" t="n">
        <v>46263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Allmännings- och besparingsskogar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46263</v>
      </c>
      <c r="F291" t="inlineStr">
        <is>
          <t>ÖSTERGÖTLANDS LÄN</t>
        </is>
      </c>
      <c r="G291" t="inlineStr">
        <is>
          <t>SÖDERKÖPING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45295</v>
      </c>
      <c r="E292" s="1" t="n">
        <v>46263</v>
      </c>
      <c r="F292" t="inlineStr">
        <is>
          <t>ÖSTERGÖTLANDS LÄN</t>
        </is>
      </c>
      <c r="G292" t="inlineStr">
        <is>
          <t>SÖDERKÖPING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46263</v>
      </c>
      <c r="F293" t="inlineStr">
        <is>
          <t>ÖSTERGÖTLANDS LÄN</t>
        </is>
      </c>
      <c r="G293" t="inlineStr">
        <is>
          <t>SÖDERKÖPING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45218</v>
      </c>
      <c r="E294" s="1" t="n">
        <v>46263</v>
      </c>
      <c r="F294" t="inlineStr">
        <is>
          <t>ÖSTERGÖTLANDS LÄN</t>
        </is>
      </c>
      <c r="G294" t="inlineStr">
        <is>
          <t>SÖDERKÖPING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20251-2023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45055</v>
      </c>
      <c r="E295" s="1" t="n">
        <v>46263</v>
      </c>
      <c r="F295" t="inlineStr">
        <is>
          <t>ÖSTERGÖTLANDS LÄN</t>
        </is>
      </c>
      <c r="G295" t="inlineStr">
        <is>
          <t>SÖDERKÖPING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20253-2023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45055</v>
      </c>
      <c r="E296" s="1" t="n">
        <v>46263</v>
      </c>
      <c r="F296" t="inlineStr">
        <is>
          <t>ÖSTERGÖTLANDS LÄN</t>
        </is>
      </c>
      <c r="G296" t="inlineStr">
        <is>
          <t>SÖDERKÖPING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44819-2023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45190</v>
      </c>
      <c r="E297" s="1" t="n">
        <v>46263</v>
      </c>
      <c r="F297" t="inlineStr">
        <is>
          <t>ÖSTERGÖTLANDS LÄN</t>
        </is>
      </c>
      <c r="G297" t="inlineStr">
        <is>
          <t>SÖDERKÖPING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46263</v>
      </c>
      <c r="F298" t="inlineStr">
        <is>
          <t>ÖSTERGÖTLANDS LÄN</t>
        </is>
      </c>
      <c r="G298" t="inlineStr">
        <is>
          <t>SÖDERKÖPING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44928</v>
      </c>
      <c r="E299" s="1" t="n">
        <v>46263</v>
      </c>
      <c r="F299" t="inlineStr">
        <is>
          <t>ÖSTERGÖTLANDS LÄN</t>
        </is>
      </c>
      <c r="G299" t="inlineStr">
        <is>
          <t>SÖDERKÖPING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46263</v>
      </c>
      <c r="F300" t="inlineStr">
        <is>
          <t>ÖSTERGÖTLANDS LÄN</t>
        </is>
      </c>
      <c r="G300" t="inlineStr">
        <is>
          <t>SÖDERKÖPING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46263</v>
      </c>
      <c r="F301" t="inlineStr">
        <is>
          <t>ÖSTERGÖTLANDS LÄN</t>
        </is>
      </c>
      <c r="G301" t="inlineStr">
        <is>
          <t>SÖDERKÖPING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44588</v>
      </c>
      <c r="E302" s="1" t="n">
        <v>46263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46263</v>
      </c>
      <c r="F303" t="inlineStr">
        <is>
          <t>ÖSTERGÖTLANDS LÄN</t>
        </is>
      </c>
      <c r="G303" t="inlineStr">
        <is>
          <t>SÖDERKÖPING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45849</v>
      </c>
      <c r="E304" s="1" t="n">
        <v>46263</v>
      </c>
      <c r="F304" t="inlineStr">
        <is>
          <t>ÖSTERGÖTLANDS LÄN</t>
        </is>
      </c>
      <c r="G304" t="inlineStr">
        <is>
          <t>SÖDERKÖPING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63392-2021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46263</v>
      </c>
      <c r="F305" t="inlineStr">
        <is>
          <t>ÖSTERGÖTLANDS LÄN</t>
        </is>
      </c>
      <c r="G305" t="inlineStr">
        <is>
          <t>SÖDERKÖPING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45376</v>
      </c>
      <c r="E306" s="1" t="n">
        <v>46263</v>
      </c>
      <c r="F306" t="inlineStr">
        <is>
          <t>ÖSTERGÖTLANDS LÄN</t>
        </is>
      </c>
      <c r="G306" t="inlineStr">
        <is>
          <t>SÖDERKÖPING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46150</v>
      </c>
      <c r="E307" s="1" t="n">
        <v>46263</v>
      </c>
      <c r="F307" t="inlineStr">
        <is>
          <t>ÖSTERGÖTLANDS LÄN</t>
        </is>
      </c>
      <c r="G307" t="inlineStr">
        <is>
          <t>SÖDERKÖPING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21898-2026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46263</v>
      </c>
      <c r="F308" t="inlineStr">
        <is>
          <t>ÖSTERGÖTLANDS LÄN</t>
        </is>
      </c>
      <c r="G308" t="inlineStr">
        <is>
          <t>SÖDERKÖPING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21893-2026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46263</v>
      </c>
      <c r="F309" t="inlineStr">
        <is>
          <t>ÖSTERGÖTLANDS LÄN</t>
        </is>
      </c>
      <c r="G309" t="inlineStr">
        <is>
          <t>SÖDERKÖPING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46263</v>
      </c>
      <c r="F310" t="inlineStr">
        <is>
          <t>ÖSTERGÖTLANDS LÄN</t>
        </is>
      </c>
      <c r="G310" t="inlineStr">
        <is>
          <t>SÖDERKÖPING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44174-2023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45188</v>
      </c>
      <c r="E311" s="1" t="n">
        <v>46263</v>
      </c>
      <c r="F311" t="inlineStr">
        <is>
          <t>ÖSTERGÖTLANDS LÄN</t>
        </is>
      </c>
      <c r="G311" t="inlineStr">
        <is>
          <t>SÖDERKÖPING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45257</v>
      </c>
      <c r="E312" s="1" t="n">
        <v>46263</v>
      </c>
      <c r="F312" t="inlineStr">
        <is>
          <t>ÖSTERGÖTLANDS LÄN</t>
        </is>
      </c>
      <c r="G312" t="inlineStr">
        <is>
          <t>SÖDERKÖPING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45208</v>
      </c>
      <c r="E313" s="1" t="n">
        <v>46263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45687</v>
      </c>
      <c r="E314" s="1" t="n">
        <v>46263</v>
      </c>
      <c r="F314" t="inlineStr">
        <is>
          <t>ÖSTERGÖTLANDS LÄN</t>
        </is>
      </c>
      <c r="G314" t="inlineStr">
        <is>
          <t>SÖDERKÖPING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42673-2023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45181</v>
      </c>
      <c r="E315" s="1" t="n">
        <v>46263</v>
      </c>
      <c r="F315" t="inlineStr">
        <is>
          <t>ÖSTERGÖTLANDS LÄN</t>
        </is>
      </c>
      <c r="G315" t="inlineStr">
        <is>
          <t>SÖDERKÖPING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46263</v>
      </c>
      <c r="F316" t="inlineStr">
        <is>
          <t>ÖSTERGÖTLANDS LÄN</t>
        </is>
      </c>
      <c r="G316" t="inlineStr">
        <is>
          <t>SÖDERKÖPING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46263</v>
      </c>
      <c r="F317" t="inlineStr">
        <is>
          <t>ÖSTERGÖTLANDS LÄN</t>
        </is>
      </c>
      <c r="G317" t="inlineStr">
        <is>
          <t>SÖDERKÖPING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46263</v>
      </c>
      <c r="F318" t="inlineStr">
        <is>
          <t>ÖSTERGÖTLANDS LÄN</t>
        </is>
      </c>
      <c r="G318" t="inlineStr">
        <is>
          <t>SÖDERKÖPING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46263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Allmännings- och besparingsskogar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46263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Holmen skog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46263</v>
      </c>
      <c r="F321" t="inlineStr">
        <is>
          <t>ÖSTERGÖTLANDS LÄN</t>
        </is>
      </c>
      <c r="G321" t="inlineStr">
        <is>
          <t>SÖDERKÖPING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46263</v>
      </c>
      <c r="F322" t="inlineStr">
        <is>
          <t>ÖSTERGÖTLANDS LÄN</t>
        </is>
      </c>
      <c r="G322" t="inlineStr">
        <is>
          <t>SÖDERKÖPING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46263</v>
      </c>
      <c r="F323" t="inlineStr">
        <is>
          <t>ÖSTERGÖTLANDS LÄN</t>
        </is>
      </c>
      <c r="G323" t="inlineStr">
        <is>
          <t>SÖDERKÖPING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46183</v>
      </c>
      <c r="E324" s="1" t="n">
        <v>46263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46263</v>
      </c>
      <c r="F325" t="inlineStr">
        <is>
          <t>ÖSTERGÖTLANDS LÄN</t>
        </is>
      </c>
      <c r="G325" t="inlineStr">
        <is>
          <t>SÖDERKÖPING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46263</v>
      </c>
      <c r="F326" t="inlineStr">
        <is>
          <t>ÖSTERGÖTLANDS LÄN</t>
        </is>
      </c>
      <c r="G326" t="inlineStr">
        <is>
          <t>SÖDERKÖPING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46183</v>
      </c>
      <c r="E327" s="1" t="n">
        <v>46263</v>
      </c>
      <c r="F327" t="inlineStr">
        <is>
          <t>ÖSTERGÖTLANDS LÄN</t>
        </is>
      </c>
      <c r="G327" t="inlineStr">
        <is>
          <t>SÖDERKÖPING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46263</v>
      </c>
      <c r="F328" t="inlineStr">
        <is>
          <t>ÖSTERGÖTLANDS LÄN</t>
        </is>
      </c>
      <c r="G328" t="inlineStr">
        <is>
          <t>SÖDERKÖPING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26582-2026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46263</v>
      </c>
      <c r="F329" t="inlineStr">
        <is>
          <t>ÖSTERGÖTLANDS LÄN</t>
        </is>
      </c>
      <c r="G329" t="inlineStr">
        <is>
          <t>SÖDERKÖPING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26439-2026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46183</v>
      </c>
      <c r="E330" s="1" t="n">
        <v>46263</v>
      </c>
      <c r="F330" t="inlineStr">
        <is>
          <t>ÖSTERGÖTLANDS LÄN</t>
        </is>
      </c>
      <c r="G330" t="inlineStr">
        <is>
          <t>SÖDERKÖPING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31793-2026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46227</v>
      </c>
      <c r="E331" s="1" t="n">
        <v>46263</v>
      </c>
      <c r="F331" t="inlineStr">
        <is>
          <t>ÖSTERGÖTLANDS LÄN</t>
        </is>
      </c>
      <c r="G331" t="inlineStr">
        <is>
          <t>SÖDERKÖPING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46227</v>
      </c>
      <c r="E332" s="1" t="n">
        <v>46263</v>
      </c>
      <c r="F332" t="inlineStr">
        <is>
          <t>ÖSTERGÖTLANDS LÄN</t>
        </is>
      </c>
      <c r="G332" t="inlineStr">
        <is>
          <t>SÖDERKÖPING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31792-2026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46227</v>
      </c>
      <c r="E333" s="1" t="n">
        <v>46263</v>
      </c>
      <c r="F333" t="inlineStr">
        <is>
          <t>ÖSTERGÖTLANDS LÄN</t>
        </is>
      </c>
      <c r="G333" t="inlineStr">
        <is>
          <t>SÖDERKÖPING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46155</v>
      </c>
      <c r="E334" s="1" t="n">
        <v>46263</v>
      </c>
      <c r="F334" t="inlineStr">
        <is>
          <t>ÖSTERGÖTLANDS LÄN</t>
        </is>
      </c>
      <c r="G334" t="inlineStr">
        <is>
          <t>SÖDERKÖPING</t>
        </is>
      </c>
      <c r="H334" t="inlineStr">
        <is>
          <t>Kommuner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46196</v>
      </c>
      <c r="E335" s="1" t="n">
        <v>46263</v>
      </c>
      <c r="F335" t="inlineStr">
        <is>
          <t>ÖSTERGÖTLANDS LÄN</t>
        </is>
      </c>
      <c r="G335" t="inlineStr">
        <is>
          <t>SÖDERKÖPING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46241</v>
      </c>
      <c r="E336" s="1" t="n">
        <v>46263</v>
      </c>
      <c r="F336" t="inlineStr">
        <is>
          <t>ÖSTERGÖTLANDS LÄN</t>
        </is>
      </c>
      <c r="G336" t="inlineStr">
        <is>
          <t>SÖDERKÖPING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46241</v>
      </c>
      <c r="E337" s="1" t="n">
        <v>46263</v>
      </c>
      <c r="F337" t="inlineStr">
        <is>
          <t>ÖSTERGÖTLANDS LÄN</t>
        </is>
      </c>
      <c r="G337" t="inlineStr">
        <is>
          <t>SÖDERKÖPING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46248</v>
      </c>
      <c r="E338" s="1" t="n">
        <v>46263</v>
      </c>
      <c r="F338" t="inlineStr">
        <is>
          <t>ÖSTERGÖTLANDS LÄN</t>
        </is>
      </c>
      <c r="G338" t="inlineStr">
        <is>
          <t>SÖDERKÖPING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46263</v>
      </c>
      <c r="F339" t="inlineStr">
        <is>
          <t>ÖSTERGÖTLANDS LÄN</t>
        </is>
      </c>
      <c r="G339" t="inlineStr">
        <is>
          <t>SÖDERKÖPING</t>
        </is>
      </c>
      <c r="I339" t="n">
        <v>18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46258</v>
      </c>
      <c r="E340" s="1" t="n">
        <v>46263</v>
      </c>
      <c r="F340" t="inlineStr">
        <is>
          <t>ÖSTERGÖTLANDS LÄN</t>
        </is>
      </c>
      <c r="G340" t="inlineStr">
        <is>
          <t>SÖDERKÖPING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46263</v>
      </c>
      <c r="F341" t="inlineStr">
        <is>
          <t>ÖSTERGÖTLANDS LÄN</t>
        </is>
      </c>
      <c r="G341" t="inlineStr">
        <is>
          <t>SÖDERKÖPING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46171</v>
      </c>
      <c r="E342" s="1" t="n">
        <v>46263</v>
      </c>
      <c r="F342" t="inlineStr">
        <is>
          <t>ÖSTERGÖTLANDS LÄN</t>
        </is>
      </c>
      <c r="G342" t="inlineStr">
        <is>
          <t>SÖDERKÖPING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46259</v>
      </c>
      <c r="E343" s="1" t="n">
        <v>46263</v>
      </c>
      <c r="F343" t="inlineStr">
        <is>
          <t>ÖSTERGÖTLANDS LÄN</t>
        </is>
      </c>
      <c r="G343" t="inlineStr">
        <is>
          <t>SÖDERKÖPING</t>
        </is>
      </c>
      <c r="H343" t="inlineStr">
        <is>
          <t>Allmännings- och besparingsskogar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46259</v>
      </c>
      <c r="E344" s="1" t="n">
        <v>46263</v>
      </c>
      <c r="F344" t="inlineStr">
        <is>
          <t>ÖSTERGÖTLANDS LÄN</t>
        </is>
      </c>
      <c r="G344" t="inlineStr">
        <is>
          <t>SÖDERKÖPING</t>
        </is>
      </c>
      <c r="H344" t="inlineStr">
        <is>
          <t>Allmännings- och besparingsskogar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46219</v>
      </c>
      <c r="E345" s="1" t="n">
        <v>46263</v>
      </c>
      <c r="F345" t="inlineStr">
        <is>
          <t>ÖSTERGÖTLANDS LÄN</t>
        </is>
      </c>
      <c r="G345" t="inlineStr">
        <is>
          <t>SÖDERKÖPING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46219</v>
      </c>
      <c r="E346" s="1" t="n">
        <v>46263</v>
      </c>
      <c r="F346" t="inlineStr">
        <is>
          <t>ÖSTERGÖTLANDS LÄN</t>
        </is>
      </c>
      <c r="G346" t="inlineStr">
        <is>
          <t>SÖDERKÖPING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46263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46263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46263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46263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46263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46263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2026-08-29T01:54:25Z</dcterms:created>
  <dcterms:modified xmlns:dcterms="http://purl.org/dc/terms/" xmlns:xsi="http://www.w3.org/2001/XMLSchema-instance" xsi:type="dcterms:W3CDTF">2026-08-29T01:54:25Z</dcterms:modified>
</cp:coreProperties>
</file>