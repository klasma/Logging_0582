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46242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46242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46242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46242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46242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46242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46242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46242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46242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46242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46242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46242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46242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46242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46242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46242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46242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46242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46242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37183-2025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46242</v>
      </c>
      <c r="F21" t="inlineStr">
        <is>
          <t>ÖSTERGÖTLANDS LÄN</t>
        </is>
      </c>
      <c r="G21" t="inlineStr">
        <is>
          <t>SÖDERKÖPING</t>
        </is>
      </c>
      <c r="I21" t="n">
        <v>4.8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Vedskivlav
Vanlig padda</t>
        </is>
      </c>
      <c r="W21">
        <f>HYPERLINK("https://klasma.github.io/Logging_0582/artfynd/A 37183-2025 artfynd.xlsx", "A 37183-2025")</f>
        <v/>
      </c>
      <c r="X21">
        <f>HYPERLINK("https://klasma.github.io/Logging_0582/kartor/A 37183-2025 karta.png", "A 37183-2025")</f>
        <v/>
      </c>
      <c r="Y21">
        <f>HYPERLINK("https://klasma.github.io/Logging_0582/kartor_geotiff/A 37183-2025 georefererad karta.tif", "A 37183-2025")</f>
        <v/>
      </c>
      <c r="AA21">
        <f>HYPERLINK("https://klasma.github.io/Logging_0582/klagomål/A 37183-2025 FSC-klagomål.docx", "A 37183-2025")</f>
        <v/>
      </c>
      <c r="AB21">
        <f>HYPERLINK("https://klasma.github.io/Logging_0582/klagomålsmail/A 37183-2025 FSC-klagomål mail.docx", "A 37183-2025")</f>
        <v/>
      </c>
      <c r="AC21">
        <f>HYPERLINK("https://klasma.github.io/Logging_0582/tillsyn/A 37183-2025 tillsynsbegäran.docx", "A 37183-2025")</f>
        <v/>
      </c>
      <c r="AD21">
        <f>HYPERLINK("https://klasma.github.io/Logging_0582/tillsynsmail/A 37183-2025 tillsynsbegäran mail.docx", "A 37183-2025")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46242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46242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46242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46242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46242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46242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46242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46242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46242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46242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20269-2026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46242</v>
      </c>
      <c r="F32" t="inlineStr">
        <is>
          <t>ÖSTERGÖTLANDS LÄN</t>
        </is>
      </c>
      <c r="G32" t="inlineStr">
        <is>
          <t>SÖDERKÖPING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Kösa</t>
        </is>
      </c>
      <c r="W32">
        <f>HYPERLINK("https://klasma.github.io/Logging_0582/artfynd/A 20269-2026 artfynd.xlsx", "A 20269-2026")</f>
        <v/>
      </c>
      <c r="X32">
        <f>HYPERLINK("https://klasma.github.io/Logging_0582/kartor/A 20269-2026 karta.png", "A 20269-2026")</f>
        <v/>
      </c>
      <c r="Y32">
        <f>HYPERLINK("https://klasma.github.io/Logging_0582/kartor_geotiff/A 20269-2026 georefererad karta.tif", "A 20269-2026")</f>
        <v/>
      </c>
      <c r="AA32">
        <f>HYPERLINK("https://klasma.github.io/Logging_0582/klagomål/A 20269-2026 FSC-klagomål.docx", "A 20269-2026")</f>
        <v/>
      </c>
      <c r="AB32">
        <f>HYPERLINK("https://klasma.github.io/Logging_0582/klagomålsmail/A 20269-2026 FSC-klagomål mail.docx", "A 20269-2026")</f>
        <v/>
      </c>
      <c r="AC32">
        <f>HYPERLINK("https://klasma.github.io/Logging_0582/tillsyn/A 20269-2026 tillsynsbegäran.docx", "A 20269-2026")</f>
        <v/>
      </c>
      <c r="AD32">
        <f>HYPERLINK("https://klasma.github.io/Logging_0582/tillsynsmail/A 20269-2026 tillsynsbegäran mail.docx", "A 20269-2026")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46242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46242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46242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46242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46242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46242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46242</v>
      </c>
      <c r="F39" t="inlineStr">
        <is>
          <t>ÖSTERGÖTLANDS LÄN</t>
        </is>
      </c>
      <c r="G39" t="inlineStr">
        <is>
          <t>SÖDERKÖPING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46242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46242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46242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46242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46242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46242</v>
      </c>
      <c r="F45" t="inlineStr">
        <is>
          <t>ÖSTERGÖTLANDS LÄN</t>
        </is>
      </c>
      <c r="G45" t="inlineStr">
        <is>
          <t>SÖDERKÖPING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46242</v>
      </c>
      <c r="F46" t="inlineStr">
        <is>
          <t>ÖSTERGÖTLANDS LÄN</t>
        </is>
      </c>
      <c r="G46" t="inlineStr">
        <is>
          <t>SÖDERKÖPING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46242</v>
      </c>
      <c r="F47" t="inlineStr">
        <is>
          <t>ÖSTERGÖTLANDS LÄN</t>
        </is>
      </c>
      <c r="G47" t="inlineStr">
        <is>
          <t>SÖDERKÖPING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10836-2022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44627</v>
      </c>
      <c r="E48" s="1" t="n">
        <v>46242</v>
      </c>
      <c r="F48" t="inlineStr">
        <is>
          <t>ÖSTERGÖTLANDS LÄN</t>
        </is>
      </c>
      <c r="G48" t="inlineStr">
        <is>
          <t>SÖDERKÖPING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44685</v>
      </c>
      <c r="E49" s="1" t="n">
        <v>46242</v>
      </c>
      <c r="F49" t="inlineStr">
        <is>
          <t>ÖSTERGÖTLANDS LÄN</t>
        </is>
      </c>
      <c r="G49" t="inlineStr">
        <is>
          <t>SÖDERKÖPING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42432-2022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44831</v>
      </c>
      <c r="E50" s="1" t="n">
        <v>46242</v>
      </c>
      <c r="F50" t="inlineStr">
        <is>
          <t>ÖSTERGÖTLANDS LÄN</t>
        </is>
      </c>
      <c r="G50" t="inlineStr">
        <is>
          <t>SÖDERKÖPING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46242</v>
      </c>
      <c r="F51" t="inlineStr">
        <is>
          <t>ÖSTERGÖTLANDS LÄN</t>
        </is>
      </c>
      <c r="G51" t="inlineStr">
        <is>
          <t>SÖDERKÖPING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44567</v>
      </c>
      <c r="E52" s="1" t="n">
        <v>46242</v>
      </c>
      <c r="F52" t="inlineStr">
        <is>
          <t>ÖSTERGÖTLANDS LÄN</t>
        </is>
      </c>
      <c r="G52" t="inlineStr">
        <is>
          <t>SÖDERKÖPING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23774-2022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44722</v>
      </c>
      <c r="E53" s="1" t="n">
        <v>46242</v>
      </c>
      <c r="F53" t="inlineStr">
        <is>
          <t>ÖSTERGÖTLANDS LÄN</t>
        </is>
      </c>
      <c r="G53" t="inlineStr">
        <is>
          <t>SÖDERKÖPING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46242</v>
      </c>
      <c r="F54" t="inlineStr">
        <is>
          <t>ÖSTERGÖTLANDS LÄN</t>
        </is>
      </c>
      <c r="G54" t="inlineStr">
        <is>
          <t>SÖDERKÖPING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44721</v>
      </c>
      <c r="E55" s="1" t="n">
        <v>46242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44722</v>
      </c>
      <c r="E56" s="1" t="n">
        <v>46242</v>
      </c>
      <c r="F56" t="inlineStr">
        <is>
          <t>ÖSTERGÖTLANDS LÄN</t>
        </is>
      </c>
      <c r="G56" t="inlineStr">
        <is>
          <t>SÖDERKÖPING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52465-2022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46242</v>
      </c>
      <c r="F57" t="inlineStr">
        <is>
          <t>ÖSTERGÖTLANDS LÄN</t>
        </is>
      </c>
      <c r="G57" t="inlineStr">
        <is>
          <t>SÖDERKÖPING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46242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46242</v>
      </c>
      <c r="F59" t="inlineStr">
        <is>
          <t>ÖSTERGÖTLANDS LÄN</t>
        </is>
      </c>
      <c r="G59" t="inlineStr">
        <is>
          <t>SÖDERKÖPING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50619-2021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46242</v>
      </c>
      <c r="F60" t="inlineStr">
        <is>
          <t>ÖSTERGÖTLANDS LÄN</t>
        </is>
      </c>
      <c r="G60" t="inlineStr">
        <is>
          <t>SÖDERKÖPING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49230-2022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46242</v>
      </c>
      <c r="F61" t="inlineStr">
        <is>
          <t>ÖSTERGÖTLANDS LÄN</t>
        </is>
      </c>
      <c r="G61" t="inlineStr">
        <is>
          <t>SÖDERKÖPING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46242</v>
      </c>
      <c r="F62" t="inlineStr">
        <is>
          <t>ÖSTERGÖTLANDS LÄN</t>
        </is>
      </c>
      <c r="G62" t="inlineStr">
        <is>
          <t>SÖDERKÖPING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54961-2021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46242</v>
      </c>
      <c r="F63" t="inlineStr">
        <is>
          <t>ÖSTERGÖTLANDS LÄN</t>
        </is>
      </c>
      <c r="G63" t="inlineStr">
        <is>
          <t>SÖDERKÖPING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53891-2021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46242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71426-2021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46242</v>
      </c>
      <c r="F65" t="inlineStr">
        <is>
          <t>ÖSTERGÖTLANDS LÄN</t>
        </is>
      </c>
      <c r="G65" t="inlineStr">
        <is>
          <t>SÖDERKÖPING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46242</v>
      </c>
      <c r="F66" t="inlineStr">
        <is>
          <t>ÖSTERGÖTLANDS LÄN</t>
        </is>
      </c>
      <c r="G66" t="inlineStr">
        <is>
          <t>SÖDERKÖPING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46242</v>
      </c>
      <c r="F67" t="inlineStr">
        <is>
          <t>ÖSTERGÖTLANDS LÄN</t>
        </is>
      </c>
      <c r="G67" t="inlineStr">
        <is>
          <t>SÖDERKÖPING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44508</v>
      </c>
      <c r="E68" s="1" t="n">
        <v>46242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26915-2023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45093</v>
      </c>
      <c r="E69" s="1" t="n">
        <v>46242</v>
      </c>
      <c r="F69" t="inlineStr">
        <is>
          <t>ÖSTERGÖTLANDS LÄN</t>
        </is>
      </c>
      <c r="G69" t="inlineStr">
        <is>
          <t>SÖDERKÖPING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45218</v>
      </c>
      <c r="E70" s="1" t="n">
        <v>46242</v>
      </c>
      <c r="F70" t="inlineStr">
        <is>
          <t>ÖSTERGÖTLANDS LÄN</t>
        </is>
      </c>
      <c r="G70" t="inlineStr">
        <is>
          <t>SÖDERKÖPING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46242</v>
      </c>
      <c r="F71" t="inlineStr">
        <is>
          <t>ÖSTERGÖTLANDS LÄN</t>
        </is>
      </c>
      <c r="G71" t="inlineStr">
        <is>
          <t>SÖDERKÖPING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61514-2023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46242</v>
      </c>
      <c r="F72" t="inlineStr">
        <is>
          <t>ÖSTERGÖTLANDS LÄN</t>
        </is>
      </c>
      <c r="G72" t="inlineStr">
        <is>
          <t>SÖDERKÖPING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60160-2021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44495</v>
      </c>
      <c r="E73" s="1" t="n">
        <v>46242</v>
      </c>
      <c r="F73" t="inlineStr">
        <is>
          <t>ÖSTERGÖTLANDS LÄN</t>
        </is>
      </c>
      <c r="G73" t="inlineStr">
        <is>
          <t>SÖDERKÖPING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45667</v>
      </c>
      <c r="E74" s="1" t="n">
        <v>46242</v>
      </c>
      <c r="F74" t="inlineStr">
        <is>
          <t>ÖSTERGÖTLANDS LÄN</t>
        </is>
      </c>
      <c r="G74" t="inlineStr">
        <is>
          <t>SÖDERKÖPING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20221-2023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45055</v>
      </c>
      <c r="E75" s="1" t="n">
        <v>46242</v>
      </c>
      <c r="F75" t="inlineStr">
        <is>
          <t>ÖSTERGÖTLANDS LÄN</t>
        </is>
      </c>
      <c r="G75" t="inlineStr">
        <is>
          <t>SÖDERKÖPING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46242</v>
      </c>
      <c r="F76" t="inlineStr">
        <is>
          <t>ÖSTERGÖTLANDS LÄN</t>
        </is>
      </c>
      <c r="G76" t="inlineStr">
        <is>
          <t>SÖDERKÖPING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50866-2023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46242</v>
      </c>
      <c r="F77" t="inlineStr">
        <is>
          <t>ÖSTERGÖTLANDS LÄN</t>
        </is>
      </c>
      <c r="G77" t="inlineStr">
        <is>
          <t>SÖDERKÖPING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46242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46242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46242</v>
      </c>
      <c r="F80" t="inlineStr">
        <is>
          <t>ÖSTERGÖTLANDS LÄN</t>
        </is>
      </c>
      <c r="G80" t="inlineStr">
        <is>
          <t>SÖDERKÖPING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44736</v>
      </c>
      <c r="E81" s="1" t="n">
        <v>46242</v>
      </c>
      <c r="F81" t="inlineStr">
        <is>
          <t>ÖSTERGÖTLANDS LÄN</t>
        </is>
      </c>
      <c r="G81" t="inlineStr">
        <is>
          <t>SÖDERKÖPING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46242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45663</v>
      </c>
      <c r="E83" s="1" t="n">
        <v>46242</v>
      </c>
      <c r="F83" t="inlineStr">
        <is>
          <t>ÖSTERGÖTLANDS LÄN</t>
        </is>
      </c>
      <c r="G83" t="inlineStr">
        <is>
          <t>SÖDERKÖPING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46242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25790-2023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46242</v>
      </c>
      <c r="F85" t="inlineStr">
        <is>
          <t>ÖSTERGÖTLANDS LÄN</t>
        </is>
      </c>
      <c r="G85" t="inlineStr">
        <is>
          <t>SÖDERKÖPING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46242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37694-2023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46242</v>
      </c>
      <c r="F87" t="inlineStr">
        <is>
          <t>ÖSTERGÖTLANDS LÄN</t>
        </is>
      </c>
      <c r="G87" t="inlineStr">
        <is>
          <t>SÖDERKÖPING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46242</v>
      </c>
      <c r="F88" t="inlineStr">
        <is>
          <t>ÖSTERGÖTLANDS LÄN</t>
        </is>
      </c>
      <c r="G88" t="inlineStr">
        <is>
          <t>SÖDERKÖPING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46242</v>
      </c>
      <c r="F89" t="inlineStr">
        <is>
          <t>ÖSTERGÖTLANDS LÄN</t>
        </is>
      </c>
      <c r="G89" t="inlineStr">
        <is>
          <t>SÖDERKÖPING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45685</v>
      </c>
      <c r="E90" s="1" t="n">
        <v>46242</v>
      </c>
      <c r="F90" t="inlineStr">
        <is>
          <t>ÖSTERGÖTLANDS LÄN</t>
        </is>
      </c>
      <c r="G90" t="inlineStr">
        <is>
          <t>SÖDERKÖPING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45692</v>
      </c>
      <c r="E91" s="1" t="n">
        <v>46242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46242</v>
      </c>
      <c r="F92" t="inlineStr">
        <is>
          <t>ÖSTERGÖTLANDS LÄN</t>
        </is>
      </c>
      <c r="G92" t="inlineStr">
        <is>
          <t>SÖDERKÖPING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44979</v>
      </c>
      <c r="E93" s="1" t="n">
        <v>46242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Allmännings- och besparingsskogar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46242</v>
      </c>
      <c r="F94" t="inlineStr">
        <is>
          <t>ÖSTERGÖTLANDS LÄN</t>
        </is>
      </c>
      <c r="G94" t="inlineStr">
        <is>
          <t>SÖDERKÖPING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46242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46242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Holmen skog AB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46242</v>
      </c>
      <c r="F97" t="inlineStr">
        <is>
          <t>ÖSTERGÖTLANDS LÄN</t>
        </is>
      </c>
      <c r="G97" t="inlineStr">
        <is>
          <t>SÖDERKÖPING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46242</v>
      </c>
      <c r="F98" t="inlineStr">
        <is>
          <t>ÖSTERGÖTLANDS LÄN</t>
        </is>
      </c>
      <c r="G98" t="inlineStr">
        <is>
          <t>SÖDERKÖPING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46242</v>
      </c>
      <c r="F99" t="inlineStr">
        <is>
          <t>ÖSTERGÖTLANDS LÄN</t>
        </is>
      </c>
      <c r="G99" t="inlineStr">
        <is>
          <t>SÖDERKÖPING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46242</v>
      </c>
      <c r="F100" t="inlineStr">
        <is>
          <t>ÖSTERGÖTLANDS LÄN</t>
        </is>
      </c>
      <c r="G100" t="inlineStr">
        <is>
          <t>SÖDERKÖPING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46242</v>
      </c>
      <c r="F101" t="inlineStr">
        <is>
          <t>ÖSTERGÖTLANDS LÄN</t>
        </is>
      </c>
      <c r="G101" t="inlineStr">
        <is>
          <t>SÖDERKÖPING</t>
        </is>
      </c>
      <c r="I101" t="n">
        <v>26.6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46242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45190</v>
      </c>
      <c r="E103" s="1" t="n">
        <v>46242</v>
      </c>
      <c r="F103" t="inlineStr">
        <is>
          <t>ÖSTERGÖTLANDS LÄN</t>
        </is>
      </c>
      <c r="G103" t="inlineStr">
        <is>
          <t>SÖDERKÖPING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45231</v>
      </c>
      <c r="E104" s="1" t="n">
        <v>46242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45191</v>
      </c>
      <c r="E105" s="1" t="n">
        <v>46242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46050</v>
      </c>
      <c r="E106" s="1" t="n">
        <v>46242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Kyrkan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46242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Holmen skog AB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46242</v>
      </c>
      <c r="F108" t="inlineStr">
        <is>
          <t>ÖSTERGÖTLANDS LÄN</t>
        </is>
      </c>
      <c r="G108" t="inlineStr">
        <is>
          <t>SÖDERKÖPING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45194</v>
      </c>
      <c r="E109" s="1" t="n">
        <v>46242</v>
      </c>
      <c r="F109" t="inlineStr">
        <is>
          <t>ÖSTERGÖTLANDS LÄN</t>
        </is>
      </c>
      <c r="G109" t="inlineStr">
        <is>
          <t>SÖDERKÖPING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46242</v>
      </c>
      <c r="F110" t="inlineStr">
        <is>
          <t>ÖSTERGÖTLANDS LÄN</t>
        </is>
      </c>
      <c r="G110" t="inlineStr">
        <is>
          <t>SÖDERKÖPING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46242</v>
      </c>
      <c r="F111" t="inlineStr">
        <is>
          <t>ÖSTERGÖTLANDS LÄN</t>
        </is>
      </c>
      <c r="G111" t="inlineStr">
        <is>
          <t>SÖDERKÖPING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46055</v>
      </c>
      <c r="E112" s="1" t="n">
        <v>46242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46242</v>
      </c>
      <c r="F113" t="inlineStr">
        <is>
          <t>ÖSTERGÖTLANDS LÄN</t>
        </is>
      </c>
      <c r="G113" t="inlineStr">
        <is>
          <t>SÖDERKÖPING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46242</v>
      </c>
      <c r="F114" t="inlineStr">
        <is>
          <t>ÖSTERGÖTLANDS LÄN</t>
        </is>
      </c>
      <c r="G114" t="inlineStr">
        <is>
          <t>SÖDERKÖPING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46242</v>
      </c>
      <c r="F115" t="inlineStr">
        <is>
          <t>ÖSTERGÖTLANDS LÄN</t>
        </is>
      </c>
      <c r="G115" t="inlineStr">
        <is>
          <t>SÖDERKÖPING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46242</v>
      </c>
      <c r="F116" t="inlineStr">
        <is>
          <t>ÖSTERGÖTLANDS LÄN</t>
        </is>
      </c>
      <c r="G116" t="inlineStr">
        <is>
          <t>SÖDERKÖPING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46061</v>
      </c>
      <c r="E117" s="1" t="n">
        <v>46242</v>
      </c>
      <c r="F117" t="inlineStr">
        <is>
          <t>ÖSTERGÖTLANDS LÄN</t>
        </is>
      </c>
      <c r="G117" t="inlineStr">
        <is>
          <t>SÖDERKÖPING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46242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46242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46062</v>
      </c>
      <c r="E120" s="1" t="n">
        <v>46242</v>
      </c>
      <c r="F120" t="inlineStr">
        <is>
          <t>ÖSTERGÖTLANDS LÄN</t>
        </is>
      </c>
      <c r="G120" t="inlineStr">
        <is>
          <t>SÖDERKÖPING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46242</v>
      </c>
      <c r="F121" t="inlineStr">
        <is>
          <t>ÖSTERGÖTLANDS LÄN</t>
        </is>
      </c>
      <c r="G121" t="inlineStr">
        <is>
          <t>SÖDERKÖPING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46242</v>
      </c>
      <c r="F122" t="inlineStr">
        <is>
          <t>ÖSTERGÖTLANDS LÄN</t>
        </is>
      </c>
      <c r="G122" t="inlineStr">
        <is>
          <t>SÖDERKÖPING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45742</v>
      </c>
      <c r="E123" s="1" t="n">
        <v>46242</v>
      </c>
      <c r="F123" t="inlineStr">
        <is>
          <t>ÖSTERGÖTLANDS LÄN</t>
        </is>
      </c>
      <c r="G123" t="inlineStr">
        <is>
          <t>SÖDERKÖPING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46242</v>
      </c>
      <c r="F124" t="inlineStr">
        <is>
          <t>ÖSTERGÖTLANDS LÄN</t>
        </is>
      </c>
      <c r="G124" t="inlineStr">
        <is>
          <t>SÖDERKÖPING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46242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28482-2025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45817</v>
      </c>
      <c r="E126" s="1" t="n">
        <v>46242</v>
      </c>
      <c r="F126" t="inlineStr">
        <is>
          <t>ÖSTERGÖTLANDS LÄN</t>
        </is>
      </c>
      <c r="G126" t="inlineStr">
        <is>
          <t>SÖDERKÖPING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45817</v>
      </c>
      <c r="E127" s="1" t="n">
        <v>46242</v>
      </c>
      <c r="F127" t="inlineStr">
        <is>
          <t>ÖSTERGÖTLANDS LÄN</t>
        </is>
      </c>
      <c r="G127" t="inlineStr">
        <is>
          <t>SÖDERKÖPING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45923</v>
      </c>
      <c r="E128" s="1" t="n">
        <v>46242</v>
      </c>
      <c r="F128" t="inlineStr">
        <is>
          <t>ÖSTERGÖTLANDS LÄN</t>
        </is>
      </c>
      <c r="G128" t="inlineStr">
        <is>
          <t>SÖDERKÖPING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46242</v>
      </c>
      <c r="F129" t="inlineStr">
        <is>
          <t>ÖSTERGÖTLANDS LÄN</t>
        </is>
      </c>
      <c r="G129" t="inlineStr">
        <is>
          <t>SÖDERKÖPING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46242</v>
      </c>
      <c r="F130" t="inlineStr">
        <is>
          <t>ÖSTERGÖTLANDS LÄN</t>
        </is>
      </c>
      <c r="G130" t="inlineStr">
        <is>
          <t>SÖDERKÖPING</t>
        </is>
      </c>
      <c r="H130" t="inlineStr">
        <is>
          <t>Allmännings- och besparingsskogar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46242</v>
      </c>
      <c r="F131" t="inlineStr">
        <is>
          <t>ÖSTERGÖTLANDS LÄN</t>
        </is>
      </c>
      <c r="G131" t="inlineStr">
        <is>
          <t>SÖDERKÖPING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46242</v>
      </c>
      <c r="F132" t="inlineStr">
        <is>
          <t>ÖSTERGÖTLANDS LÄN</t>
        </is>
      </c>
      <c r="G132" t="inlineStr">
        <is>
          <t>SÖDERKÖPING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46242</v>
      </c>
      <c r="F133" t="inlineStr">
        <is>
          <t>ÖSTERGÖTLANDS LÄN</t>
        </is>
      </c>
      <c r="G133" t="inlineStr">
        <is>
          <t>SÖDERKÖPING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46242</v>
      </c>
      <c r="F134" t="inlineStr">
        <is>
          <t>ÖSTERGÖTLANDS LÄN</t>
        </is>
      </c>
      <c r="G134" t="inlineStr">
        <is>
          <t>SÖDERKÖPING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46242</v>
      </c>
      <c r="F135" t="inlineStr">
        <is>
          <t>ÖSTERGÖTLANDS LÄN</t>
        </is>
      </c>
      <c r="G135" t="inlineStr">
        <is>
          <t>SÖDERKÖPING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46242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46242</v>
      </c>
      <c r="F137" t="inlineStr">
        <is>
          <t>ÖSTERGÖTLANDS LÄN</t>
        </is>
      </c>
      <c r="G137" t="inlineStr">
        <is>
          <t>SÖDERKÖPING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46242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11005-2026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46079</v>
      </c>
      <c r="E139" s="1" t="n">
        <v>46242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Kyrkan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46242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46084</v>
      </c>
      <c r="E141" s="1" t="n">
        <v>46242</v>
      </c>
      <c r="F141" t="inlineStr">
        <is>
          <t>ÖSTERGÖTLANDS LÄN</t>
        </is>
      </c>
      <c r="G141" t="inlineStr">
        <is>
          <t>SÖDERKÖPING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46242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46242</v>
      </c>
      <c r="F143" t="inlineStr">
        <is>
          <t>ÖSTERGÖTLANDS LÄN</t>
        </is>
      </c>
      <c r="G143" t="inlineStr">
        <is>
          <t>SÖDERKÖPING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46242</v>
      </c>
      <c r="F144" t="inlineStr">
        <is>
          <t>ÖSTERGÖTLANDS LÄN</t>
        </is>
      </c>
      <c r="G144" t="inlineStr">
        <is>
          <t>SÖDERKÖPING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44965</v>
      </c>
      <c r="E145" s="1" t="n">
        <v>46242</v>
      </c>
      <c r="F145" t="inlineStr">
        <is>
          <t>ÖSTERGÖTLANDS LÄN</t>
        </is>
      </c>
      <c r="G145" t="inlineStr">
        <is>
          <t>SÖDERKÖPING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46242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46242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46242</v>
      </c>
      <c r="F148" t="inlineStr">
        <is>
          <t>ÖSTERGÖTLANDS LÄN</t>
        </is>
      </c>
      <c r="G148" t="inlineStr">
        <is>
          <t>SÖDERKÖPING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46242</v>
      </c>
      <c r="F149" t="inlineStr">
        <is>
          <t>ÖSTERGÖTLANDS LÄN</t>
        </is>
      </c>
      <c r="G149" t="inlineStr">
        <is>
          <t>SÖDERKÖPING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46242</v>
      </c>
      <c r="F150" t="inlineStr">
        <is>
          <t>ÖSTERGÖTLANDS LÄN</t>
        </is>
      </c>
      <c r="G150" t="inlineStr">
        <is>
          <t>SÖDERKÖPING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46242</v>
      </c>
      <c r="F151" t="inlineStr">
        <is>
          <t>ÖSTERGÖTLANDS LÄN</t>
        </is>
      </c>
      <c r="G151" t="inlineStr">
        <is>
          <t>SÖDERKÖPING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46242</v>
      </c>
      <c r="F152" t="inlineStr">
        <is>
          <t>ÖSTERGÖTLANDS LÄN</t>
        </is>
      </c>
      <c r="G152" t="inlineStr">
        <is>
          <t>SÖDERKÖPING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46242</v>
      </c>
      <c r="F153" t="inlineStr">
        <is>
          <t>ÖSTERGÖTLANDS LÄN</t>
        </is>
      </c>
      <c r="G153" t="inlineStr">
        <is>
          <t>SÖDERKÖPING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46242</v>
      </c>
      <c r="F154" t="inlineStr">
        <is>
          <t>ÖSTERGÖTLANDS LÄN</t>
        </is>
      </c>
      <c r="G154" t="inlineStr">
        <is>
          <t>SÖDERKÖPING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46242</v>
      </c>
      <c r="F155" t="inlineStr">
        <is>
          <t>ÖSTERGÖTLANDS LÄN</t>
        </is>
      </c>
      <c r="G155" t="inlineStr">
        <is>
          <t>SÖDERKÖPING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46242</v>
      </c>
      <c r="F156" t="inlineStr">
        <is>
          <t>ÖSTERGÖTLANDS LÄN</t>
        </is>
      </c>
      <c r="G156" t="inlineStr">
        <is>
          <t>SÖDERKÖPING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46242</v>
      </c>
      <c r="F157" t="inlineStr">
        <is>
          <t>ÖSTERGÖTLANDS LÄN</t>
        </is>
      </c>
      <c r="G157" t="inlineStr">
        <is>
          <t>SÖDERKÖPING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46242</v>
      </c>
      <c r="F158" t="inlineStr">
        <is>
          <t>ÖSTERGÖTLANDS LÄN</t>
        </is>
      </c>
      <c r="G158" t="inlineStr">
        <is>
          <t>SÖDERKÖPING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46242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Holmen skog AB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44798</v>
      </c>
      <c r="E160" s="1" t="n">
        <v>46242</v>
      </c>
      <c r="F160" t="inlineStr">
        <is>
          <t>ÖSTERGÖTLANDS LÄN</t>
        </is>
      </c>
      <c r="G160" t="inlineStr">
        <is>
          <t>SÖDERKÖPING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46242</v>
      </c>
      <c r="F161" t="inlineStr">
        <is>
          <t>ÖSTERGÖTLANDS LÄN</t>
        </is>
      </c>
      <c r="G161" t="inlineStr">
        <is>
          <t>SÖDERKÖPING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46242</v>
      </c>
      <c r="F162" t="inlineStr">
        <is>
          <t>ÖSTERGÖTLANDS LÄN</t>
        </is>
      </c>
      <c r="G162" t="inlineStr">
        <is>
          <t>SÖDERKÖPING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46242</v>
      </c>
      <c r="F163" t="inlineStr">
        <is>
          <t>ÖSTERGÖTLANDS LÄN</t>
        </is>
      </c>
      <c r="G163" t="inlineStr">
        <is>
          <t>SÖDERKÖPING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45742</v>
      </c>
      <c r="E164" s="1" t="n">
        <v>46242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46242</v>
      </c>
      <c r="F165" t="inlineStr">
        <is>
          <t>ÖSTERGÖTLANDS LÄN</t>
        </is>
      </c>
      <c r="G165" t="inlineStr">
        <is>
          <t>SÖDERKÖPING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46242</v>
      </c>
      <c r="F166" t="inlineStr">
        <is>
          <t>ÖSTERGÖTLANDS LÄN</t>
        </is>
      </c>
      <c r="G166" t="inlineStr">
        <is>
          <t>SÖDERKÖPING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46242</v>
      </c>
      <c r="F167" t="inlineStr">
        <is>
          <t>ÖSTERGÖTLANDS LÄN</t>
        </is>
      </c>
      <c r="G167" t="inlineStr">
        <is>
          <t>SÖDERKÖPING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46242</v>
      </c>
      <c r="F168" t="inlineStr">
        <is>
          <t>ÖSTERGÖTLANDS LÄN</t>
        </is>
      </c>
      <c r="G168" t="inlineStr">
        <is>
          <t>SÖDERKÖPING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46242</v>
      </c>
      <c r="F169" t="inlineStr">
        <is>
          <t>ÖSTERGÖTLANDS LÄN</t>
        </is>
      </c>
      <c r="G169" t="inlineStr">
        <is>
          <t>SÖDERKÖPING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46242</v>
      </c>
      <c r="F170" t="inlineStr">
        <is>
          <t>ÖSTERGÖTLANDS LÄN</t>
        </is>
      </c>
      <c r="G170" t="inlineStr">
        <is>
          <t>SÖDERKÖPING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46242</v>
      </c>
      <c r="F171" t="inlineStr">
        <is>
          <t>ÖSTERGÖTLANDS LÄN</t>
        </is>
      </c>
      <c r="G171" t="inlineStr">
        <is>
          <t>SÖDERKÖPING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46242</v>
      </c>
      <c r="F172" t="inlineStr">
        <is>
          <t>ÖSTERGÖTLANDS LÄN</t>
        </is>
      </c>
      <c r="G172" t="inlineStr">
        <is>
          <t>SÖDERKÖPING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46242</v>
      </c>
      <c r="F173" t="inlineStr">
        <is>
          <t>ÖSTERGÖTLANDS LÄN</t>
        </is>
      </c>
      <c r="G173" t="inlineStr">
        <is>
          <t>SÖDERKÖPING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46242</v>
      </c>
      <c r="F174" t="inlineStr">
        <is>
          <t>ÖSTERGÖTLANDS LÄN</t>
        </is>
      </c>
      <c r="G174" t="inlineStr">
        <is>
          <t>SÖDERKÖPING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45504</v>
      </c>
      <c r="E175" s="1" t="n">
        <v>46242</v>
      </c>
      <c r="F175" t="inlineStr">
        <is>
          <t>ÖSTERGÖTLANDS LÄN</t>
        </is>
      </c>
      <c r="G175" t="inlineStr">
        <is>
          <t>SÖDERKÖPING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46242</v>
      </c>
      <c r="F176" t="inlineStr">
        <is>
          <t>ÖSTERGÖTLANDS LÄN</t>
        </is>
      </c>
      <c r="G176" t="inlineStr">
        <is>
          <t>SÖDERKÖPING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46242</v>
      </c>
      <c r="F177" t="inlineStr">
        <is>
          <t>ÖSTERGÖTLANDS LÄN</t>
        </is>
      </c>
      <c r="G177" t="inlineStr">
        <is>
          <t>SÖDERKÖPING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46242</v>
      </c>
      <c r="F178" t="inlineStr">
        <is>
          <t>ÖSTERGÖTLANDS LÄN</t>
        </is>
      </c>
      <c r="G178" t="inlineStr">
        <is>
          <t>SÖDERKÖPING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46242</v>
      </c>
      <c r="F179" t="inlineStr">
        <is>
          <t>ÖSTERGÖTLANDS LÄN</t>
        </is>
      </c>
      <c r="G179" t="inlineStr">
        <is>
          <t>SÖDERKÖPING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46242</v>
      </c>
      <c r="F180" t="inlineStr">
        <is>
          <t>ÖSTERGÖTLANDS LÄN</t>
        </is>
      </c>
      <c r="G180" t="inlineStr">
        <is>
          <t>SÖDERKÖPING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46242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46242</v>
      </c>
      <c r="F182" t="inlineStr">
        <is>
          <t>ÖSTERGÖTLANDS LÄN</t>
        </is>
      </c>
      <c r="G182" t="inlineStr">
        <is>
          <t>SÖDERKÖPING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17357-2025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46242</v>
      </c>
      <c r="F183" t="inlineStr">
        <is>
          <t>ÖSTERGÖTLANDS LÄN</t>
        </is>
      </c>
      <c r="G183" t="inlineStr">
        <is>
          <t>SÖDERKÖPING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46242</v>
      </c>
      <c r="F184" t="inlineStr">
        <is>
          <t>ÖSTERGÖTLANDS LÄN</t>
        </is>
      </c>
      <c r="G184" t="inlineStr">
        <is>
          <t>SÖDERKÖPING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44796</v>
      </c>
      <c r="E185" s="1" t="n">
        <v>46242</v>
      </c>
      <c r="F185" t="inlineStr">
        <is>
          <t>ÖSTERGÖTLANDS LÄN</t>
        </is>
      </c>
      <c r="G185" t="inlineStr">
        <is>
          <t>SÖDERKÖPING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46242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46242</v>
      </c>
      <c r="F187" t="inlineStr">
        <is>
          <t>ÖSTERGÖTLANDS LÄN</t>
        </is>
      </c>
      <c r="G187" t="inlineStr">
        <is>
          <t>SÖDERKÖPING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46242</v>
      </c>
      <c r="F188" t="inlineStr">
        <is>
          <t>ÖSTERGÖTLANDS LÄN</t>
        </is>
      </c>
      <c r="G188" t="inlineStr">
        <is>
          <t>SÖDERKÖPING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46242</v>
      </c>
      <c r="F189" t="inlineStr">
        <is>
          <t>ÖSTERGÖTLANDS LÄN</t>
        </is>
      </c>
      <c r="G189" t="inlineStr">
        <is>
          <t>SÖDERKÖPING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46242</v>
      </c>
      <c r="F190" t="inlineStr">
        <is>
          <t>ÖSTERGÖTLANDS LÄN</t>
        </is>
      </c>
      <c r="G190" t="inlineStr">
        <is>
          <t>SÖDERKÖPING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46242</v>
      </c>
      <c r="F191" t="inlineStr">
        <is>
          <t>ÖSTERGÖTLANDS LÄN</t>
        </is>
      </c>
      <c r="G191" t="inlineStr">
        <is>
          <t>SÖDERKÖPING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46242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46242</v>
      </c>
      <c r="F193" t="inlineStr">
        <is>
          <t>ÖSTERGÖTLANDS LÄN</t>
        </is>
      </c>
      <c r="G193" t="inlineStr">
        <is>
          <t>SÖDERKÖPING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47368-2021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46242</v>
      </c>
      <c r="F194" t="inlineStr">
        <is>
          <t>ÖSTERGÖTLANDS LÄN</t>
        </is>
      </c>
      <c r="G194" t="inlineStr">
        <is>
          <t>SÖDERKÖPING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46242</v>
      </c>
      <c r="F195" t="inlineStr">
        <is>
          <t>ÖSTERGÖTLANDS LÄN</t>
        </is>
      </c>
      <c r="G195" t="inlineStr">
        <is>
          <t>SÖDERKÖPING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46003</v>
      </c>
      <c r="E196" s="1" t="n">
        <v>46242</v>
      </c>
      <c r="F196" t="inlineStr">
        <is>
          <t>ÖSTERGÖTLANDS LÄN</t>
        </is>
      </c>
      <c r="G196" t="inlineStr">
        <is>
          <t>SÖDERKÖPING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46003</v>
      </c>
      <c r="E197" s="1" t="n">
        <v>46242</v>
      </c>
      <c r="F197" t="inlineStr">
        <is>
          <t>ÖSTERGÖTLANDS LÄN</t>
        </is>
      </c>
      <c r="G197" t="inlineStr">
        <is>
          <t>SÖDERKÖPING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46242</v>
      </c>
      <c r="F198" t="inlineStr">
        <is>
          <t>ÖSTERGÖTLANDS LÄN</t>
        </is>
      </c>
      <c r="G198" t="inlineStr">
        <is>
          <t>SÖDERKÖPING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46242</v>
      </c>
      <c r="F199" t="inlineStr">
        <is>
          <t>ÖSTERGÖTLANDS LÄN</t>
        </is>
      </c>
      <c r="G199" t="inlineStr">
        <is>
          <t>SÖDERKÖPING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46139</v>
      </c>
      <c r="E200" s="1" t="n">
        <v>46242</v>
      </c>
      <c r="F200" t="inlineStr">
        <is>
          <t>ÖSTERGÖTLANDS LÄN</t>
        </is>
      </c>
      <c r="G200" t="inlineStr">
        <is>
          <t>SÖDERKÖPING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46242</v>
      </c>
      <c r="F201" t="inlineStr">
        <is>
          <t>ÖSTERGÖTLANDS LÄN</t>
        </is>
      </c>
      <c r="G201" t="inlineStr">
        <is>
          <t>SÖDERKÖPING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46242</v>
      </c>
      <c r="F202" t="inlineStr">
        <is>
          <t>ÖSTERGÖTLANDS LÄN</t>
        </is>
      </c>
      <c r="G202" t="inlineStr">
        <is>
          <t>SÖDERKÖPING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46242</v>
      </c>
      <c r="F203" t="inlineStr">
        <is>
          <t>ÖSTERGÖTLANDS LÄN</t>
        </is>
      </c>
      <c r="G203" t="inlineStr">
        <is>
          <t>SÖDERKÖPING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46242</v>
      </c>
      <c r="F204" t="inlineStr">
        <is>
          <t>ÖSTERGÖTLANDS LÄN</t>
        </is>
      </c>
      <c r="G204" t="inlineStr">
        <is>
          <t>SÖDERKÖPING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46242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Allmännings- och besparingsskogar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46242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46242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46242</v>
      </c>
      <c r="F208" t="inlineStr">
        <is>
          <t>ÖSTERGÖTLANDS LÄN</t>
        </is>
      </c>
      <c r="G208" t="inlineStr">
        <is>
          <t>SÖDERKÖPING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66362-2021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44518</v>
      </c>
      <c r="E209" s="1" t="n">
        <v>46242</v>
      </c>
      <c r="F209" t="inlineStr">
        <is>
          <t>ÖSTERGÖTLANDS LÄN</t>
        </is>
      </c>
      <c r="G209" t="inlineStr">
        <is>
          <t>SÖDERKÖPING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46010</v>
      </c>
      <c r="E210" s="1" t="n">
        <v>46242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Allmännings- och besparingsskogar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46141</v>
      </c>
      <c r="E211" s="1" t="n">
        <v>46242</v>
      </c>
      <c r="F211" t="inlineStr">
        <is>
          <t>ÖSTERGÖTLANDS LÄN</t>
        </is>
      </c>
      <c r="G211" t="inlineStr">
        <is>
          <t>SÖDERKÖPING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46242</v>
      </c>
      <c r="F212" t="inlineStr">
        <is>
          <t>ÖSTERGÖTLANDS LÄN</t>
        </is>
      </c>
      <c r="G212" t="inlineStr">
        <is>
          <t>SÖDERKÖPING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46242</v>
      </c>
      <c r="F213" t="inlineStr">
        <is>
          <t>ÖSTERGÖTLANDS LÄN</t>
        </is>
      </c>
      <c r="G213" t="inlineStr">
        <is>
          <t>SÖDERKÖPING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46242</v>
      </c>
      <c r="F214" t="inlineStr">
        <is>
          <t>ÖSTERGÖTLANDS LÄN</t>
        </is>
      </c>
      <c r="G214" t="inlineStr">
        <is>
          <t>SÖDERKÖPING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34979-2025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46242</v>
      </c>
      <c r="F215" t="inlineStr">
        <is>
          <t>ÖSTERGÖTLANDS LÄN</t>
        </is>
      </c>
      <c r="G215" t="inlineStr">
        <is>
          <t>SÖDERKÖPING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46242</v>
      </c>
      <c r="F216" t="inlineStr">
        <is>
          <t>ÖSTERGÖTLANDS LÄN</t>
        </is>
      </c>
      <c r="G216" t="inlineStr">
        <is>
          <t>SÖDERKÖPING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46242</v>
      </c>
      <c r="F217" t="inlineStr">
        <is>
          <t>ÖSTERGÖTLANDS LÄN</t>
        </is>
      </c>
      <c r="G217" t="inlineStr">
        <is>
          <t>SÖDERKÖPING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46242</v>
      </c>
      <c r="F218" t="inlineStr">
        <is>
          <t>ÖSTERGÖTLANDS LÄN</t>
        </is>
      </c>
      <c r="G218" t="inlineStr">
        <is>
          <t>SÖDERKÖPING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49569-2022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46242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46242</v>
      </c>
      <c r="F220" t="inlineStr">
        <is>
          <t>ÖSTERGÖTLANDS LÄN</t>
        </is>
      </c>
      <c r="G220" t="inlineStr">
        <is>
          <t>SÖDERKÖPING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46242</v>
      </c>
      <c r="F221" t="inlineStr">
        <is>
          <t>ÖSTERGÖTLANDS LÄN</t>
        </is>
      </c>
      <c r="G221" t="inlineStr">
        <is>
          <t>SÖDERKÖPING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45849</v>
      </c>
      <c r="E222" s="1" t="n">
        <v>46242</v>
      </c>
      <c r="F222" t="inlineStr">
        <is>
          <t>ÖSTERGÖTLANDS LÄN</t>
        </is>
      </c>
      <c r="G222" t="inlineStr">
        <is>
          <t>SÖDERKÖPING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45849</v>
      </c>
      <c r="E223" s="1" t="n">
        <v>46242</v>
      </c>
      <c r="F223" t="inlineStr">
        <is>
          <t>ÖSTERGÖTLANDS LÄN</t>
        </is>
      </c>
      <c r="G223" t="inlineStr">
        <is>
          <t>SÖDERKÖPING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46242</v>
      </c>
      <c r="F224" t="inlineStr">
        <is>
          <t>ÖSTERGÖTLANDS LÄN</t>
        </is>
      </c>
      <c r="G224" t="inlineStr">
        <is>
          <t>SÖDERKÖPING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46242</v>
      </c>
      <c r="F225" t="inlineStr">
        <is>
          <t>ÖSTERGÖTLANDS LÄN</t>
        </is>
      </c>
      <c r="G225" t="inlineStr">
        <is>
          <t>SÖDERKÖPING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44901</v>
      </c>
      <c r="E226" s="1" t="n">
        <v>46242</v>
      </c>
      <c r="F226" t="inlineStr">
        <is>
          <t>ÖSTERGÖTLANDS LÄN</t>
        </is>
      </c>
      <c r="G226" t="inlineStr">
        <is>
          <t>SÖDERKÖPING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46242</v>
      </c>
      <c r="F227" t="inlineStr">
        <is>
          <t>ÖSTERGÖTLANDS LÄN</t>
        </is>
      </c>
      <c r="G227" t="inlineStr">
        <is>
          <t>SÖDERKÖPING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46242</v>
      </c>
      <c r="F228" t="inlineStr">
        <is>
          <t>ÖSTERGÖTLANDS LÄN</t>
        </is>
      </c>
      <c r="G228" t="inlineStr">
        <is>
          <t>SÖDERKÖPING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46242</v>
      </c>
      <c r="F229" t="inlineStr">
        <is>
          <t>ÖSTERGÖTLANDS LÄN</t>
        </is>
      </c>
      <c r="G229" t="inlineStr">
        <is>
          <t>SÖDERKÖPING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46242</v>
      </c>
      <c r="F230" t="inlineStr">
        <is>
          <t>ÖSTERGÖTLANDS LÄN</t>
        </is>
      </c>
      <c r="G230" t="inlineStr">
        <is>
          <t>SÖDERKÖPING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46242</v>
      </c>
      <c r="F231" t="inlineStr">
        <is>
          <t>ÖSTERGÖTLANDS LÄN</t>
        </is>
      </c>
      <c r="G231" t="inlineStr">
        <is>
          <t>SÖDERKÖPING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46242</v>
      </c>
      <c r="F232" t="inlineStr">
        <is>
          <t>ÖSTERGÖTLANDS LÄN</t>
        </is>
      </c>
      <c r="G232" t="inlineStr">
        <is>
          <t>SÖDERKÖPING</t>
        </is>
      </c>
      <c r="H232" t="inlineStr">
        <is>
          <t>Allmännings- och besparingsskogar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46242</v>
      </c>
      <c r="F233" t="inlineStr">
        <is>
          <t>ÖSTERGÖTLANDS LÄN</t>
        </is>
      </c>
      <c r="G233" t="inlineStr">
        <is>
          <t>SÖDERKÖPING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46242</v>
      </c>
      <c r="F234" t="inlineStr">
        <is>
          <t>ÖSTERGÖTLANDS LÄN</t>
        </is>
      </c>
      <c r="G234" t="inlineStr">
        <is>
          <t>SÖDERKÖPING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46242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46242</v>
      </c>
      <c r="F236" t="inlineStr">
        <is>
          <t>ÖSTERGÖTLANDS LÄN</t>
        </is>
      </c>
      <c r="G236" t="inlineStr">
        <is>
          <t>SÖDERKÖPING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36734-2022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44805</v>
      </c>
      <c r="E237" s="1" t="n">
        <v>46242</v>
      </c>
      <c r="F237" t="inlineStr">
        <is>
          <t>ÖSTERGÖTLANDS LÄN</t>
        </is>
      </c>
      <c r="G237" t="inlineStr">
        <is>
          <t>SÖDERKÖPING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46242</v>
      </c>
      <c r="F238" t="inlineStr">
        <is>
          <t>ÖSTERGÖTLANDS LÄN</t>
        </is>
      </c>
      <c r="G238" t="inlineStr">
        <is>
          <t>SÖDERKÖPING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46242</v>
      </c>
      <c r="F239" t="inlineStr">
        <is>
          <t>ÖSTERGÖTLANDS LÄN</t>
        </is>
      </c>
      <c r="G239" t="inlineStr">
        <is>
          <t>SÖDERKÖPING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54787-2022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44883</v>
      </c>
      <c r="E240" s="1" t="n">
        <v>46242</v>
      </c>
      <c r="F240" t="inlineStr">
        <is>
          <t>ÖSTERGÖTLANDS LÄN</t>
        </is>
      </c>
      <c r="G240" t="inlineStr">
        <is>
          <t>SÖDERKÖPING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46242</v>
      </c>
      <c r="F241" t="inlineStr">
        <is>
          <t>ÖSTERGÖTLANDS LÄN</t>
        </is>
      </c>
      <c r="G241" t="inlineStr">
        <is>
          <t>SÖDERKÖPING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46242</v>
      </c>
      <c r="F242" t="inlineStr">
        <is>
          <t>ÖSTERGÖTLANDS LÄN</t>
        </is>
      </c>
      <c r="G242" t="inlineStr">
        <is>
          <t>SÖDERKÖPING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45190</v>
      </c>
      <c r="E243" s="1" t="n">
        <v>46242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46164</v>
      </c>
      <c r="E244" s="1" t="n">
        <v>46242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44956</v>
      </c>
      <c r="E245" s="1" t="n">
        <v>46242</v>
      </c>
      <c r="F245" t="inlineStr">
        <is>
          <t>ÖSTERGÖTLANDS LÄN</t>
        </is>
      </c>
      <c r="G245" t="inlineStr">
        <is>
          <t>SÖDERKÖPING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44911</v>
      </c>
      <c r="E246" s="1" t="n">
        <v>46242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Allmännings- och besparingsskogar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45876</v>
      </c>
      <c r="E247" s="1" t="n">
        <v>46242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45876</v>
      </c>
      <c r="E248" s="1" t="n">
        <v>46242</v>
      </c>
      <c r="F248" t="inlineStr">
        <is>
          <t>ÖSTERGÖTLANDS LÄN</t>
        </is>
      </c>
      <c r="G248" t="inlineStr">
        <is>
          <t>SÖDERKÖPING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46242</v>
      </c>
      <c r="F249" t="inlineStr">
        <is>
          <t>ÖSTERGÖTLANDS LÄN</t>
        </is>
      </c>
      <c r="G249" t="inlineStr">
        <is>
          <t>SÖDERKÖPING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66075-2021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44517</v>
      </c>
      <c r="E250" s="1" t="n">
        <v>46242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Kyrkan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46242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46242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46242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46242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44978</v>
      </c>
      <c r="E255" s="1" t="n">
        <v>46242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Allmännings- och besparingsskogar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46242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Allmännings- och besparingsskogar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50050-2023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45215</v>
      </c>
      <c r="E257" s="1" t="n">
        <v>46242</v>
      </c>
      <c r="F257" t="inlineStr">
        <is>
          <t>ÖSTERGÖTLANDS LÄN</t>
        </is>
      </c>
      <c r="G257" t="inlineStr">
        <is>
          <t>SÖDERKÖPING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46242</v>
      </c>
      <c r="F258" t="inlineStr">
        <is>
          <t>ÖSTERGÖTLANDS LÄN</t>
        </is>
      </c>
      <c r="G258" t="inlineStr">
        <is>
          <t>SÖDERKÖPING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46219</v>
      </c>
      <c r="E259" s="1" t="n">
        <v>46242</v>
      </c>
      <c r="F259" t="inlineStr">
        <is>
          <t>ÖSTERGÖTLANDS LÄN</t>
        </is>
      </c>
      <c r="G259" t="inlineStr">
        <is>
          <t>SÖDERKÖPING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46242</v>
      </c>
      <c r="F260" t="inlineStr">
        <is>
          <t>ÖSTERGÖTLANDS LÄN</t>
        </is>
      </c>
      <c r="G260" t="inlineStr">
        <is>
          <t>SÖDERKÖPING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46242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45684</v>
      </c>
      <c r="E262" s="1" t="n">
        <v>46242</v>
      </c>
      <c r="F262" t="inlineStr">
        <is>
          <t>ÖSTERGÖTLANDS LÄN</t>
        </is>
      </c>
      <c r="G262" t="inlineStr">
        <is>
          <t>SÖDERKÖPING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46242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46242</v>
      </c>
      <c r="F264" t="inlineStr">
        <is>
          <t>ÖSTERGÖTLANDS LÄN</t>
        </is>
      </c>
      <c r="G264" t="inlineStr">
        <is>
          <t>SÖDERKÖPING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22208-2026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46242</v>
      </c>
      <c r="F265" t="inlineStr">
        <is>
          <t>ÖSTERGÖTLANDS LÄN</t>
        </is>
      </c>
      <c r="G265" t="inlineStr">
        <is>
          <t>SÖDERKÖPING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46242</v>
      </c>
      <c r="F266" t="inlineStr">
        <is>
          <t>ÖSTERGÖTLANDS LÄN</t>
        </is>
      </c>
      <c r="G266" t="inlineStr">
        <is>
          <t>SÖDERKÖPING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26439-2026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46183</v>
      </c>
      <c r="E267" s="1" t="n">
        <v>46242</v>
      </c>
      <c r="F267" t="inlineStr">
        <is>
          <t>ÖSTERGÖTLANDS LÄN</t>
        </is>
      </c>
      <c r="G267" t="inlineStr">
        <is>
          <t>SÖDERKÖPING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46242</v>
      </c>
      <c r="F268" t="inlineStr">
        <is>
          <t>ÖSTERGÖTLANDS LÄN</t>
        </is>
      </c>
      <c r="G268" t="inlineStr">
        <is>
          <t>SÖDERKÖPING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46242</v>
      </c>
      <c r="F269" t="inlineStr">
        <is>
          <t>ÖSTERGÖTLANDS LÄN</t>
        </is>
      </c>
      <c r="G269" t="inlineStr">
        <is>
          <t>SÖDERKÖPING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44711</v>
      </c>
      <c r="E270" s="1" t="n">
        <v>46242</v>
      </c>
      <c r="F270" t="inlineStr">
        <is>
          <t>ÖSTERGÖTLANDS LÄN</t>
        </is>
      </c>
      <c r="G270" t="inlineStr">
        <is>
          <t>SÖDERKÖPING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46242</v>
      </c>
      <c r="F271" t="inlineStr">
        <is>
          <t>ÖSTERGÖTLANDS LÄN</t>
        </is>
      </c>
      <c r="G271" t="inlineStr">
        <is>
          <t>SÖDERKÖPING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46242</v>
      </c>
      <c r="F272" t="inlineStr">
        <is>
          <t>ÖSTERGÖTLANDS LÄN</t>
        </is>
      </c>
      <c r="G272" t="inlineStr">
        <is>
          <t>SÖDERKÖPING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46242</v>
      </c>
      <c r="F273" t="inlineStr">
        <is>
          <t>ÖSTERGÖTLANDS LÄN</t>
        </is>
      </c>
      <c r="G273" t="inlineStr">
        <is>
          <t>SÖDERKÖPING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26550-2026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46242</v>
      </c>
      <c r="F274" t="inlineStr">
        <is>
          <t>ÖSTERGÖTLANDS LÄN</t>
        </is>
      </c>
      <c r="G274" t="inlineStr">
        <is>
          <t>SÖDERKÖPING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46242</v>
      </c>
      <c r="F275" t="inlineStr">
        <is>
          <t>ÖSTERGÖTLANDS LÄN</t>
        </is>
      </c>
      <c r="G275" t="inlineStr">
        <is>
          <t>SÖDERKÖPING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46227</v>
      </c>
      <c r="E276" s="1" t="n">
        <v>46242</v>
      </c>
      <c r="F276" t="inlineStr">
        <is>
          <t>ÖSTERGÖTLANDS LÄN</t>
        </is>
      </c>
      <c r="G276" t="inlineStr">
        <is>
          <t>SÖDERKÖPING</t>
        </is>
      </c>
      <c r="I276" t="n">
        <v>8.5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46227</v>
      </c>
      <c r="E277" s="1" t="n">
        <v>46242</v>
      </c>
      <c r="F277" t="inlineStr">
        <is>
          <t>ÖSTERGÖTLANDS LÄN</t>
        </is>
      </c>
      <c r="G277" t="inlineStr">
        <is>
          <t>SÖDERKÖPING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46242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44618</v>
      </c>
      <c r="E279" s="1" t="n">
        <v>46242</v>
      </c>
      <c r="F279" t="inlineStr">
        <is>
          <t>ÖSTERGÖTLANDS LÄN</t>
        </is>
      </c>
      <c r="G279" t="inlineStr">
        <is>
          <t>SÖDERKÖPING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45293</v>
      </c>
      <c r="E280" s="1" t="n">
        <v>46242</v>
      </c>
      <c r="F280" t="inlineStr">
        <is>
          <t>ÖSTERGÖTLANDS LÄN</t>
        </is>
      </c>
      <c r="G280" t="inlineStr">
        <is>
          <t>SÖDERKÖPING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42753-2023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45181</v>
      </c>
      <c r="E281" s="1" t="n">
        <v>46242</v>
      </c>
      <c r="F281" t="inlineStr">
        <is>
          <t>ÖSTERGÖTLANDS LÄN</t>
        </is>
      </c>
      <c r="G281" t="inlineStr">
        <is>
          <t>SÖDERKÖPING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46242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Kommuner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53889-2021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44469</v>
      </c>
      <c r="E283" s="1" t="n">
        <v>46242</v>
      </c>
      <c r="F283" t="inlineStr">
        <is>
          <t>ÖSTERGÖTLANDS LÄN</t>
        </is>
      </c>
      <c r="G283" t="inlineStr">
        <is>
          <t>SÖDERKÖPING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46242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46242</v>
      </c>
      <c r="F285" t="inlineStr">
        <is>
          <t>ÖSTERGÖTLANDS LÄN</t>
        </is>
      </c>
      <c r="G285" t="inlineStr">
        <is>
          <t>SÖDERKÖPING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46241</v>
      </c>
      <c r="E286" s="1" t="n">
        <v>46242</v>
      </c>
      <c r="F286" t="inlineStr">
        <is>
          <t>ÖSTERGÖTLANDS LÄN</t>
        </is>
      </c>
      <c r="G286" t="inlineStr">
        <is>
          <t>SÖDERKÖPING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46242</v>
      </c>
      <c r="F287" t="inlineStr">
        <is>
          <t>ÖSTERGÖTLANDS LÄN</t>
        </is>
      </c>
      <c r="G287" t="inlineStr">
        <is>
          <t>SÖDERKÖPING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46242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46241</v>
      </c>
      <c r="E289" s="1" t="n">
        <v>46242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46242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45187</v>
      </c>
      <c r="E291" s="1" t="n">
        <v>46242</v>
      </c>
      <c r="F291" t="inlineStr">
        <is>
          <t>ÖSTERGÖTLANDS LÄN</t>
        </is>
      </c>
      <c r="G291" t="inlineStr">
        <is>
          <t>SÖDERKÖPING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45295</v>
      </c>
      <c r="E292" s="1" t="n">
        <v>46242</v>
      </c>
      <c r="F292" t="inlineStr">
        <is>
          <t>ÖSTERGÖTLANDS LÄN</t>
        </is>
      </c>
      <c r="G292" t="inlineStr">
        <is>
          <t>SÖDERKÖPING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46242</v>
      </c>
      <c r="F293" t="inlineStr">
        <is>
          <t>ÖSTERGÖTLANDS LÄN</t>
        </is>
      </c>
      <c r="G293" t="inlineStr">
        <is>
          <t>SÖDERKÖPING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46242</v>
      </c>
      <c r="F294" t="inlineStr">
        <is>
          <t>ÖSTERGÖTLANDS LÄN</t>
        </is>
      </c>
      <c r="G294" t="inlineStr">
        <is>
          <t>SÖDERKÖPING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45684</v>
      </c>
      <c r="E295" s="1" t="n">
        <v>46242</v>
      </c>
      <c r="F295" t="inlineStr">
        <is>
          <t>ÖSTERGÖTLANDS LÄN</t>
        </is>
      </c>
      <c r="G295" t="inlineStr">
        <is>
          <t>SÖDERKÖPING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46242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46242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46242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46242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46242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46242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46242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46242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45692</v>
      </c>
      <c r="E304" s="1" t="n">
        <v>46242</v>
      </c>
      <c r="F304" t="inlineStr">
        <is>
          <t>ÖSTERGÖTLANDS LÄN</t>
        </is>
      </c>
      <c r="G304" t="inlineStr">
        <is>
          <t>SÖDERKÖPING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46242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46242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45586</v>
      </c>
      <c r="E307" s="1" t="n">
        <v>46242</v>
      </c>
      <c r="F307" t="inlineStr">
        <is>
          <t>ÖSTERGÖTLANDS LÄN</t>
        </is>
      </c>
      <c r="G307" t="inlineStr">
        <is>
          <t>SÖDERKÖPING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46242</v>
      </c>
      <c r="F308" t="inlineStr">
        <is>
          <t>ÖSTERGÖTLANDS LÄN</t>
        </is>
      </c>
      <c r="G308" t="inlineStr">
        <is>
          <t>SÖDERKÖPING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44965</v>
      </c>
      <c r="E309" s="1" t="n">
        <v>46242</v>
      </c>
      <c r="F309" t="inlineStr">
        <is>
          <t>ÖSTERGÖTLANDS LÄN</t>
        </is>
      </c>
      <c r="G309" t="inlineStr">
        <is>
          <t>SÖDERKÖPING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46242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46242</v>
      </c>
      <c r="F311" t="inlineStr">
        <is>
          <t>ÖSTERGÖTLANDS LÄN</t>
        </is>
      </c>
      <c r="G311" t="inlineStr">
        <is>
          <t>SÖDERKÖPING</t>
        </is>
      </c>
      <c r="I311" t="n">
        <v>15.3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44572</v>
      </c>
      <c r="E312" s="1" t="n">
        <v>46242</v>
      </c>
      <c r="F312" t="inlineStr">
        <is>
          <t>ÖSTERGÖTLANDS LÄN</t>
        </is>
      </c>
      <c r="G312" t="inlineStr">
        <is>
          <t>SÖDERKÖPING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44593</v>
      </c>
      <c r="E313" s="1" t="n">
        <v>46242</v>
      </c>
      <c r="F313" t="inlineStr">
        <is>
          <t>ÖSTERGÖTLANDS LÄN</t>
        </is>
      </c>
      <c r="G313" t="inlineStr">
        <is>
          <t>SÖDERKÖPING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46242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44753</v>
      </c>
      <c r="E315" s="1" t="n">
        <v>46242</v>
      </c>
      <c r="F315" t="inlineStr">
        <is>
          <t>ÖSTERGÖTLANDS LÄN</t>
        </is>
      </c>
      <c r="G315" t="inlineStr">
        <is>
          <t>SÖDERKÖPING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46242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45174</v>
      </c>
      <c r="E317" s="1" t="n">
        <v>46242</v>
      </c>
      <c r="F317" t="inlineStr">
        <is>
          <t>ÖSTERGÖTLANDS LÄN</t>
        </is>
      </c>
      <c r="G317" t="inlineStr">
        <is>
          <t>SÖDERKÖPING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45297</v>
      </c>
      <c r="E318" s="1" t="n">
        <v>46242</v>
      </c>
      <c r="F318" t="inlineStr">
        <is>
          <t>ÖSTERGÖTLANDS LÄN</t>
        </is>
      </c>
      <c r="G318" t="inlineStr">
        <is>
          <t>SÖDERKÖPING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46242</v>
      </c>
      <c r="F319" t="inlineStr">
        <is>
          <t>ÖSTERGÖTLANDS LÄN</t>
        </is>
      </c>
      <c r="G319" t="inlineStr">
        <is>
          <t>SÖDERKÖPING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46242</v>
      </c>
      <c r="F320" t="inlineStr">
        <is>
          <t>ÖSTERGÖTLANDS LÄN</t>
        </is>
      </c>
      <c r="G320" t="inlineStr">
        <is>
          <t>SÖDERKÖPING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46242</v>
      </c>
      <c r="F321" t="inlineStr">
        <is>
          <t>ÖSTERGÖTLANDS LÄN</t>
        </is>
      </c>
      <c r="G321" t="inlineStr">
        <is>
          <t>SÖDERKÖPING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46242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45180</v>
      </c>
      <c r="E323" s="1" t="n">
        <v>46242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Allmännings- och besparingsskogar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45687</v>
      </c>
      <c r="E324" s="1" t="n">
        <v>46242</v>
      </c>
      <c r="F324" t="inlineStr">
        <is>
          <t>ÖSTERGÖTLANDS LÄN</t>
        </is>
      </c>
      <c r="G324" t="inlineStr">
        <is>
          <t>SÖDERKÖPING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46242</v>
      </c>
      <c r="F325" t="inlineStr">
        <is>
          <t>ÖSTERGÖTLANDS LÄN</t>
        </is>
      </c>
      <c r="G325" t="inlineStr">
        <is>
          <t>SÖDERKÖPING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46242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46242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45297</v>
      </c>
      <c r="E328" s="1" t="n">
        <v>46242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45447</v>
      </c>
      <c r="E329" s="1" t="n">
        <v>46242</v>
      </c>
      <c r="F329" t="inlineStr">
        <is>
          <t>ÖSTERGÖTLANDS LÄN</t>
        </is>
      </c>
      <c r="G329" t="inlineStr">
        <is>
          <t>SÖDERKÖPING</t>
        </is>
      </c>
      <c r="H329" t="inlineStr">
        <is>
          <t>Kommuner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46242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46242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13920-2025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46242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45700</v>
      </c>
      <c r="E333" s="1" t="n">
        <v>46242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44984</v>
      </c>
      <c r="E334" s="1" t="n">
        <v>46242</v>
      </c>
      <c r="F334" t="inlineStr">
        <is>
          <t>ÖSTERGÖTLANDS LÄN</t>
        </is>
      </c>
      <c r="G334" t="inlineStr">
        <is>
          <t>SÖDERKÖPING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46242</v>
      </c>
      <c r="F335" t="inlineStr">
        <is>
          <t>ÖSTERGÖTLANDS LÄN</t>
        </is>
      </c>
      <c r="G335" t="inlineStr">
        <is>
          <t>SÖDERKÖPING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46242</v>
      </c>
      <c r="F336" t="inlineStr">
        <is>
          <t>ÖSTERGÖTLANDS LÄN</t>
        </is>
      </c>
      <c r="G336" t="inlineStr">
        <is>
          <t>SÖDERKÖPING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46242</v>
      </c>
      <c r="F337" t="inlineStr">
        <is>
          <t>ÖSTERGÖTLANDS LÄN</t>
        </is>
      </c>
      <c r="G337" t="inlineStr">
        <is>
          <t>SÖDERKÖPING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45435</v>
      </c>
      <c r="E338" s="1" t="n">
        <v>46242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45601</v>
      </c>
      <c r="E339" s="1" t="n">
        <v>46242</v>
      </c>
      <c r="F339" t="inlineStr">
        <is>
          <t>ÖSTERGÖTLANDS LÄN</t>
        </is>
      </c>
      <c r="G339" t="inlineStr">
        <is>
          <t>SÖDERKÖPING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46242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46242</v>
      </c>
      <c r="F341" t="inlineStr">
        <is>
          <t>ÖSTERGÖTLANDS LÄN</t>
        </is>
      </c>
      <c r="G341" t="inlineStr">
        <is>
          <t>SÖDERKÖPING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45504</v>
      </c>
      <c r="E342" s="1" t="n">
        <v>46242</v>
      </c>
      <c r="F342" t="inlineStr">
        <is>
          <t>ÖSTERGÖTLANDS LÄN</t>
        </is>
      </c>
      <c r="G342" t="inlineStr">
        <is>
          <t>SÖDERKÖPING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45184</v>
      </c>
      <c r="E343" s="1" t="n">
        <v>46242</v>
      </c>
      <c r="F343" t="inlineStr">
        <is>
          <t>ÖSTERGÖTLANDS LÄN</t>
        </is>
      </c>
      <c r="G343" t="inlineStr">
        <is>
          <t>SÖDERKÖPING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46242</v>
      </c>
      <c r="F344" t="inlineStr">
        <is>
          <t>ÖSTERGÖTLANDS LÄN</t>
        </is>
      </c>
      <c r="G344" t="inlineStr">
        <is>
          <t>SÖDERKÖPING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45792</v>
      </c>
      <c r="E345" s="1" t="n">
        <v>46242</v>
      </c>
      <c r="F345" t="inlineStr">
        <is>
          <t>ÖSTERGÖTLANDS LÄN</t>
        </is>
      </c>
      <c r="G345" t="inlineStr">
        <is>
          <t>SÖDERKÖPING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46242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45797</v>
      </c>
      <c r="E347" s="1" t="n">
        <v>46242</v>
      </c>
      <c r="F347" t="inlineStr">
        <is>
          <t>ÖSTERGÖTLANDS LÄN</t>
        </is>
      </c>
      <c r="G347" t="inlineStr">
        <is>
          <t>SÖDERKÖPING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45797</v>
      </c>
      <c r="E348" s="1" t="n">
        <v>46242</v>
      </c>
      <c r="F348" t="inlineStr">
        <is>
          <t>ÖSTERGÖTLANDS LÄN</t>
        </is>
      </c>
      <c r="G348" t="inlineStr">
        <is>
          <t>SÖDERKÖPING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4766-2024</t>
        </is>
      </c>
      <c r="B349" t="inlineStr">
        <is>
          <t>samrådsanmälan</t>
        </is>
      </c>
      <c r="C349" t="inlineStr">
        <is>
          <t>Åtgärd i nyckelbiotop</t>
        </is>
      </c>
      <c r="D349" s="1" t="n">
        <v>45610</v>
      </c>
      <c r="E349" s="1" t="n">
        <v>46242</v>
      </c>
      <c r="F349" t="inlineStr">
        <is>
          <t>ÖSTERGÖTLANDS LÄN</t>
        </is>
      </c>
      <c r="G349" t="inlineStr">
        <is>
          <t>SÖDERKÖPING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3958-2024</t>
        </is>
      </c>
      <c r="B350" t="inlineStr">
        <is>
          <t>samrådsanmälan</t>
        </is>
      </c>
      <c r="C350" t="inlineStr">
        <is>
          <t>Åtgärd i nyckelbiotop</t>
        </is>
      </c>
      <c r="D350" s="1" t="n">
        <v>45567</v>
      </c>
      <c r="E350" s="1" t="n">
        <v>46242</v>
      </c>
      <c r="F350" t="inlineStr">
        <is>
          <t>ÖSTERGÖTLANDS LÄN</t>
        </is>
      </c>
      <c r="G350" t="inlineStr">
        <is>
          <t>SÖDERKÖPING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4052-2023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45246</v>
      </c>
      <c r="E351" s="1" t="n">
        <v>46242</v>
      </c>
      <c r="F351" t="inlineStr">
        <is>
          <t>ÖSTERGÖTLANDS LÄN</t>
        </is>
      </c>
      <c r="G351" t="inlineStr">
        <is>
          <t>SÖDERKÖPING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45426</v>
      </c>
      <c r="E352" s="1" t="n">
        <v>46242</v>
      </c>
      <c r="F352" t="inlineStr">
        <is>
          <t>ÖSTERGÖTLANDS LÄN</t>
        </is>
      </c>
      <c r="G352" t="inlineStr">
        <is>
          <t>SÖDERKÖPING</t>
        </is>
      </c>
      <c r="I352" t="n">
        <v>29.3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3312-2023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45195</v>
      </c>
      <c r="E353" s="1" t="n">
        <v>46242</v>
      </c>
      <c r="F353" t="inlineStr">
        <is>
          <t>ÖSTERGÖTLANDS LÄN</t>
        </is>
      </c>
      <c r="G353" t="inlineStr">
        <is>
          <t>SÖDERKÖPING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1540-2026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46168</v>
      </c>
      <c r="E354" s="1" t="n">
        <v>46242</v>
      </c>
      <c r="F354" t="inlineStr">
        <is>
          <t>ÖSTERGÖTLANDS LÄN</t>
        </is>
      </c>
      <c r="G354" t="inlineStr">
        <is>
          <t>SÖDERKÖPING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2026-08-08T01:53:51Z</dcterms:created>
  <dcterms:modified xmlns:dcterms="http://purl.org/dc/terms/" xmlns:xsi="http://www.w3.org/2001/XMLSchema-instance" xsi:type="dcterms:W3CDTF">2026-08-08T01:53:52Z</dcterms:modified>
</cp:coreProperties>
</file>