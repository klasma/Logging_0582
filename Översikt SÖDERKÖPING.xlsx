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46040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46040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46040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46040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46040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46040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46040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7879-2023</t>
        </is>
      </c>
      <c r="B9" s="1" t="n">
        <v>44973</v>
      </c>
      <c r="C9" s="1" t="n">
        <v>46040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Korskovall</t>
        </is>
      </c>
      <c r="S9">
        <f>HYPERLINK("https://klasma.github.io/Logging_0582/artfynd/A 7879-2023 artfynd.xlsx", "A 7879-2023")</f>
        <v/>
      </c>
      <c r="T9">
        <f>HYPERLINK("https://klasma.github.io/Logging_0582/kartor/A 7879-2023 karta.png", "A 7879-2023")</f>
        <v/>
      </c>
      <c r="V9">
        <f>HYPERLINK("https://klasma.github.io/Logging_0582/klagomål/A 7879-2023 FSC-klagomål.docx", "A 7879-2023")</f>
        <v/>
      </c>
      <c r="W9">
        <f>HYPERLINK("https://klasma.github.io/Logging_0582/klagomålsmail/A 7879-2023 FSC-klagomål mail.docx", "A 7879-2023")</f>
        <v/>
      </c>
      <c r="X9">
        <f>HYPERLINK("https://klasma.github.io/Logging_0582/tillsyn/A 7879-2023 tillsynsbegäran.docx", "A 7879-2023")</f>
        <v/>
      </c>
      <c r="Y9">
        <f>HYPERLINK("https://klasma.github.io/Logging_0582/tillsynsmail/A 7879-2023 tillsynsbegäran mail.docx", "A 7879-2023")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46040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46040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46040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46040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46040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46040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46040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46040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32630-2025</t>
        </is>
      </c>
      <c r="B18" s="1" t="n">
        <v>45838.65465277778</v>
      </c>
      <c r="C18" s="1" t="n">
        <v>46040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HYPERLINK("https://klasma.github.io/Logging_0582/artfynd/A 32630-2025 artfynd.xlsx", "A 32630-2025")</f>
        <v/>
      </c>
      <c r="T18">
        <f>HYPERLINK("https://klasma.github.io/Logging_0582/kartor/A 32630-2025 karta.png", "A 32630-2025")</f>
        <v/>
      </c>
      <c r="V18">
        <f>HYPERLINK("https://klasma.github.io/Logging_0582/klagomål/A 32630-2025 FSC-klagomål.docx", "A 32630-2025")</f>
        <v/>
      </c>
      <c r="W18">
        <f>HYPERLINK("https://klasma.github.io/Logging_0582/klagomålsmail/A 32630-2025 FSC-klagomål mail.docx", "A 32630-2025")</f>
        <v/>
      </c>
      <c r="X18">
        <f>HYPERLINK("https://klasma.github.io/Logging_0582/tillsyn/A 32630-2025 tillsynsbegäran.docx", "A 32630-2025")</f>
        <v/>
      </c>
      <c r="Y18">
        <f>HYPERLINK("https://klasma.github.io/Logging_0582/tillsynsmail/A 32630-2025 tillsynsbegäran mail.docx", "A 32630-2025")</f>
        <v/>
      </c>
    </row>
    <row r="19" ht="15" customHeight="1">
      <c r="A19" t="inlineStr">
        <is>
          <t>A 34976-2025</t>
        </is>
      </c>
      <c r="B19" s="1" t="n">
        <v>45849</v>
      </c>
      <c r="C19" s="1" t="n">
        <v>46040</v>
      </c>
      <c r="D19" t="inlineStr">
        <is>
          <t>ÖSTERGÖTLANDS LÄN</t>
        </is>
      </c>
      <c r="E19" t="inlineStr">
        <is>
          <t>SÖDERKÖPING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Krusfrö</t>
        </is>
      </c>
      <c r="S19">
        <f>HYPERLINK("https://klasma.github.io/Logging_0582/artfynd/A 34976-2025 artfynd.xlsx", "A 34976-2025")</f>
        <v/>
      </c>
      <c r="T19">
        <f>HYPERLINK("https://klasma.github.io/Logging_0582/kartor/A 34976-2025 karta.png", "A 34976-2025")</f>
        <v/>
      </c>
      <c r="V19">
        <f>HYPERLINK("https://klasma.github.io/Logging_0582/klagomål/A 34976-2025 FSC-klagomål.docx", "A 34976-2025")</f>
        <v/>
      </c>
      <c r="W19">
        <f>HYPERLINK("https://klasma.github.io/Logging_0582/klagomålsmail/A 34976-2025 FSC-klagomål mail.docx", "A 34976-2025")</f>
        <v/>
      </c>
      <c r="X19">
        <f>HYPERLINK("https://klasma.github.io/Logging_0582/tillsyn/A 34976-2025 tillsynsbegäran.docx", "A 34976-2025")</f>
        <v/>
      </c>
      <c r="Y19">
        <f>HYPERLINK("https://klasma.github.io/Logging_0582/tillsynsmail/A 34976-2025 tillsynsbegäran mail.docx", "A 34976-2025")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46040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46040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46040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46040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46040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46040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46040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46040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46040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46040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46040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46040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46040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46040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46040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46040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46040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46040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46040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46040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46040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46040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46040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46040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46040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46040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46040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46040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46040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46040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46040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46040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46040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46040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46040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46040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46040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46040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46040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46040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46040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46040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46040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46040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46040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46040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46040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46040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20783-2023</t>
        </is>
      </c>
      <c r="B68" s="1" t="n">
        <v>45058</v>
      </c>
      <c r="C68" s="1" t="n">
        <v>46040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20221-2023</t>
        </is>
      </c>
      <c r="B69" s="1" t="n">
        <v>45055</v>
      </c>
      <c r="C69" s="1" t="n">
        <v>46040</v>
      </c>
      <c r="D69" t="inlineStr">
        <is>
          <t>ÖSTERGÖTLANDS LÄN</t>
        </is>
      </c>
      <c r="E69" t="inlineStr">
        <is>
          <t>SÖDERKÖPING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50241-2022</t>
        </is>
      </c>
      <c r="B70" s="1" t="n">
        <v>44865</v>
      </c>
      <c r="C70" s="1" t="n">
        <v>46040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46040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38533-2025</t>
        </is>
      </c>
      <c r="B72" s="1" t="n">
        <v>45884.4155787037</v>
      </c>
      <c r="C72" s="1" t="n">
        <v>46040</v>
      </c>
      <c r="D72" t="inlineStr">
        <is>
          <t>ÖSTERGÖTLANDS LÄN</t>
        </is>
      </c>
      <c r="E72" t="inlineStr">
        <is>
          <t>SÖDERKÖPING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37343-2025</t>
        </is>
      </c>
      <c r="B73" s="1" t="n">
        <v>45876</v>
      </c>
      <c r="C73" s="1" t="n">
        <v>46040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37345-2025</t>
        </is>
      </c>
      <c r="B74" s="1" t="n">
        <v>45876.70543981482</v>
      </c>
      <c r="C74" s="1" t="n">
        <v>46040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18794-2024</t>
        </is>
      </c>
      <c r="B75" s="1" t="n">
        <v>45426</v>
      </c>
      <c r="C75" s="1" t="n">
        <v>46040</v>
      </c>
      <c r="D75" t="inlineStr">
        <is>
          <t>ÖSTERGÖTLANDS LÄN</t>
        </is>
      </c>
      <c r="E75" t="inlineStr">
        <is>
          <t>SÖDERKÖPING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39659-2025</t>
        </is>
      </c>
      <c r="B76" s="1" t="n">
        <v>45890.62998842593</v>
      </c>
      <c r="C76" s="1" t="n">
        <v>46040</v>
      </c>
      <c r="D76" t="inlineStr">
        <is>
          <t>ÖSTERGÖTLANDS LÄN</t>
        </is>
      </c>
      <c r="E76" t="inlineStr">
        <is>
          <t>SÖDERKÖPING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13802-2025</t>
        </is>
      </c>
      <c r="B77" s="1" t="n">
        <v>45737.48712962963</v>
      </c>
      <c r="C77" s="1" t="n">
        <v>46040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50050-2023</t>
        </is>
      </c>
      <c r="B78" s="1" t="n">
        <v>45215</v>
      </c>
      <c r="C78" s="1" t="n">
        <v>46040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39817-2025</t>
        </is>
      </c>
      <c r="B79" s="1" t="n">
        <v>45891.53243055556</v>
      </c>
      <c r="C79" s="1" t="n">
        <v>46040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10195-2025</t>
        </is>
      </c>
      <c r="B80" s="1" t="n">
        <v>45719.70283564815</v>
      </c>
      <c r="C80" s="1" t="n">
        <v>46040</v>
      </c>
      <c r="D80" t="inlineStr">
        <is>
          <t>ÖSTERGÖTLANDS LÄN</t>
        </is>
      </c>
      <c r="E80" t="inlineStr">
        <is>
          <t>SÖDERKÖPING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9480-2024</t>
        </is>
      </c>
      <c r="B81" s="1" t="n">
        <v>45359.57516203704</v>
      </c>
      <c r="C81" s="1" t="n">
        <v>46040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13792-2025</t>
        </is>
      </c>
      <c r="B82" s="1" t="n">
        <v>45737.46815972222</v>
      </c>
      <c r="C82" s="1" t="n">
        <v>46040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12046-2025</t>
        </is>
      </c>
      <c r="B83" s="1" t="n">
        <v>45728.66420138889</v>
      </c>
      <c r="C83" s="1" t="n">
        <v>46040</v>
      </c>
      <c r="D83" t="inlineStr">
        <is>
          <t>ÖSTERGÖTLANDS LÄN</t>
        </is>
      </c>
      <c r="E83" t="inlineStr">
        <is>
          <t>SÖDERKÖPING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39854-2025</t>
        </is>
      </c>
      <c r="B84" s="1" t="n">
        <v>45891.58826388889</v>
      </c>
      <c r="C84" s="1" t="n">
        <v>46040</v>
      </c>
      <c r="D84" t="inlineStr">
        <is>
          <t>ÖSTERGÖTLANDS LÄN</t>
        </is>
      </c>
      <c r="E84" t="inlineStr">
        <is>
          <t>SÖDERKÖPING</t>
        </is>
      </c>
      <c r="G84" t="n">
        <v>26.6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7058-2025</t>
        </is>
      </c>
      <c r="B85" s="1" t="n">
        <v>45701.65451388889</v>
      </c>
      <c r="C85" s="1" t="n">
        <v>46040</v>
      </c>
      <c r="D85" t="inlineStr">
        <is>
          <t>ÖSTERGÖTLANDS LÄN</t>
        </is>
      </c>
      <c r="E85" t="inlineStr">
        <is>
          <t>SÖDERKÖPING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21648-2023</t>
        </is>
      </c>
      <c r="B86" s="1" t="n">
        <v>45063</v>
      </c>
      <c r="C86" s="1" t="n">
        <v>46040</v>
      </c>
      <c r="D86" t="inlineStr">
        <is>
          <t>ÖSTERGÖTLANDS LÄN</t>
        </is>
      </c>
      <c r="E86" t="inlineStr">
        <is>
          <t>SÖDERKÖPING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354-2024</t>
        </is>
      </c>
      <c r="B87" s="1" t="n">
        <v>45295</v>
      </c>
      <c r="C87" s="1" t="n">
        <v>46040</v>
      </c>
      <c r="D87" t="inlineStr">
        <is>
          <t>ÖSTERGÖTLANDS LÄN</t>
        </is>
      </c>
      <c r="E87" t="inlineStr">
        <is>
          <t>SÖDERKÖPING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16775-2025</t>
        </is>
      </c>
      <c r="B88" s="1" t="n">
        <v>45754</v>
      </c>
      <c r="C88" s="1" t="n">
        <v>46040</v>
      </c>
      <c r="D88" t="inlineStr">
        <is>
          <t>ÖSTERGÖTLANDS LÄN</t>
        </is>
      </c>
      <c r="E88" t="inlineStr">
        <is>
          <t>SÖDERKÖPING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20100-2025</t>
        </is>
      </c>
      <c r="B89" s="1" t="n">
        <v>45771</v>
      </c>
      <c r="C89" s="1" t="n">
        <v>46040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33735-2023</t>
        </is>
      </c>
      <c r="B90" s="1" t="n">
        <v>45119</v>
      </c>
      <c r="C90" s="1" t="n">
        <v>46040</v>
      </c>
      <c r="D90" t="inlineStr">
        <is>
          <t>ÖSTERGÖTLANDS LÄN</t>
        </is>
      </c>
      <c r="E90" t="inlineStr">
        <is>
          <t>SÖDERKÖPING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17359-2025</t>
        </is>
      </c>
      <c r="B91" s="1" t="n">
        <v>45756</v>
      </c>
      <c r="C91" s="1" t="n">
        <v>46040</v>
      </c>
      <c r="D91" t="inlineStr">
        <is>
          <t>ÖSTERGÖTLANDS LÄN</t>
        </is>
      </c>
      <c r="E91" t="inlineStr">
        <is>
          <t>SÖDERKÖPING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4367-2025</t>
        </is>
      </c>
      <c r="B92" s="1" t="n">
        <v>45685</v>
      </c>
      <c r="C92" s="1" t="n">
        <v>46040</v>
      </c>
      <c r="D92" t="inlineStr">
        <is>
          <t>ÖSTERGÖTLANDS LÄN</t>
        </is>
      </c>
      <c r="E92" t="inlineStr">
        <is>
          <t>SÖDERKÖPING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66075-2021</t>
        </is>
      </c>
      <c r="B93" s="1" t="n">
        <v>44517</v>
      </c>
      <c r="C93" s="1" t="n">
        <v>46040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Kyrkan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3925-2025</t>
        </is>
      </c>
      <c r="B94" s="1" t="n">
        <v>45684.44912037037</v>
      </c>
      <c r="C94" s="1" t="n">
        <v>46040</v>
      </c>
      <c r="D94" t="inlineStr">
        <is>
          <t>ÖSTERGÖTLANDS LÄN</t>
        </is>
      </c>
      <c r="E94" t="inlineStr">
        <is>
          <t>SÖDERKÖPING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40562-2024</t>
        </is>
      </c>
      <c r="B95" s="1" t="n">
        <v>45555</v>
      </c>
      <c r="C95" s="1" t="n">
        <v>46040</v>
      </c>
      <c r="D95" t="inlineStr">
        <is>
          <t>ÖSTERGÖTLANDS LÄN</t>
        </is>
      </c>
      <c r="E95" t="inlineStr">
        <is>
          <t>SÖDERKÖPING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53777-2023</t>
        </is>
      </c>
      <c r="B96" s="1" t="n">
        <v>45231.3040625</v>
      </c>
      <c r="C96" s="1" t="n">
        <v>46040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49366-2023</t>
        </is>
      </c>
      <c r="B97" s="1" t="n">
        <v>45211</v>
      </c>
      <c r="C97" s="1" t="n">
        <v>46040</v>
      </c>
      <c r="D97" t="inlineStr">
        <is>
          <t>ÖSTERGÖTLANDS LÄN</t>
        </is>
      </c>
      <c r="E97" t="inlineStr">
        <is>
          <t>SÖDERKÖPING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6546-2023</t>
        </is>
      </c>
      <c r="B98" s="1" t="n">
        <v>44966</v>
      </c>
      <c r="C98" s="1" t="n">
        <v>46040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42211-2025</t>
        </is>
      </c>
      <c r="B99" s="1" t="n">
        <v>45904.50119212963</v>
      </c>
      <c r="C99" s="1" t="n">
        <v>46040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42214-2025</t>
        </is>
      </c>
      <c r="B100" s="1" t="n">
        <v>45904</v>
      </c>
      <c r="C100" s="1" t="n">
        <v>46040</v>
      </c>
      <c r="D100" t="inlineStr">
        <is>
          <t>ÖSTERGÖTLANDS LÄN</t>
        </is>
      </c>
      <c r="E100" t="inlineStr">
        <is>
          <t>SÖDERKÖPING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42219-2025</t>
        </is>
      </c>
      <c r="B101" s="1" t="n">
        <v>45904.52766203704</v>
      </c>
      <c r="C101" s="1" t="n">
        <v>46040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58456-2025</t>
        </is>
      </c>
      <c r="B102" s="1" t="n">
        <v>45985.6334375</v>
      </c>
      <c r="C102" s="1" t="n">
        <v>46040</v>
      </c>
      <c r="D102" t="inlineStr">
        <is>
          <t>ÖSTERGÖTLANDS LÄN</t>
        </is>
      </c>
      <c r="E102" t="inlineStr">
        <is>
          <t>SÖDERKÖPING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58450-2025</t>
        </is>
      </c>
      <c r="B103" s="1" t="n">
        <v>45985.62814814815</v>
      </c>
      <c r="C103" s="1" t="n">
        <v>46040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58463-2025</t>
        </is>
      </c>
      <c r="B104" s="1" t="n">
        <v>45985.63653935185</v>
      </c>
      <c r="C104" s="1" t="n">
        <v>46040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13055-2025</t>
        </is>
      </c>
      <c r="B105" s="1" t="n">
        <v>45734.59517361111</v>
      </c>
      <c r="C105" s="1" t="n">
        <v>46040</v>
      </c>
      <c r="D105" t="inlineStr">
        <is>
          <t>ÖSTERGÖTLANDS LÄN</t>
        </is>
      </c>
      <c r="E105" t="inlineStr">
        <is>
          <t>SÖDERKÖPING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13060-2025</t>
        </is>
      </c>
      <c r="B106" s="1" t="n">
        <v>45734.59896990741</v>
      </c>
      <c r="C106" s="1" t="n">
        <v>46040</v>
      </c>
      <c r="D106" t="inlineStr">
        <is>
          <t>ÖSTERGÖTLANDS LÄN</t>
        </is>
      </c>
      <c r="E106" t="inlineStr">
        <is>
          <t>SÖDERKÖPING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42768-2025</t>
        </is>
      </c>
      <c r="B107" s="1" t="n">
        <v>45908.47822916666</v>
      </c>
      <c r="C107" s="1" t="n">
        <v>46040</v>
      </c>
      <c r="D107" t="inlineStr">
        <is>
          <t>ÖSTERGÖTLANDS LÄN</t>
        </is>
      </c>
      <c r="E107" t="inlineStr">
        <is>
          <t>SÖDERKÖPING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47419-2024</t>
        </is>
      </c>
      <c r="B108" s="1" t="n">
        <v>45586</v>
      </c>
      <c r="C108" s="1" t="n">
        <v>46040</v>
      </c>
      <c r="D108" t="inlineStr">
        <is>
          <t>ÖSTERGÖTLANDS LÄN</t>
        </is>
      </c>
      <c r="E108" t="inlineStr">
        <is>
          <t>SÖDERKÖPING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42716-2025</t>
        </is>
      </c>
      <c r="B109" s="1" t="n">
        <v>45908.38768518518</v>
      </c>
      <c r="C109" s="1" t="n">
        <v>46040</v>
      </c>
      <c r="D109" t="inlineStr">
        <is>
          <t>ÖSTERGÖTLANDS LÄN</t>
        </is>
      </c>
      <c r="E109" t="inlineStr">
        <is>
          <t>SÖDERKÖPING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22512-2024</t>
        </is>
      </c>
      <c r="B110" s="1" t="n">
        <v>45447.38427083333</v>
      </c>
      <c r="C110" s="1" t="n">
        <v>46040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26915-2023</t>
        </is>
      </c>
      <c r="B111" s="1" t="n">
        <v>45093</v>
      </c>
      <c r="C111" s="1" t="n">
        <v>46040</v>
      </c>
      <c r="D111" t="inlineStr">
        <is>
          <t>ÖSTERGÖTLANDS LÄN</t>
        </is>
      </c>
      <c r="E111" t="inlineStr">
        <is>
          <t>SÖDERKÖPING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56879-2023</t>
        </is>
      </c>
      <c r="B112" s="1" t="n">
        <v>45244</v>
      </c>
      <c r="C112" s="1" t="n">
        <v>46040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459-2024</t>
        </is>
      </c>
      <c r="B113" s="1" t="n">
        <v>45297</v>
      </c>
      <c r="C113" s="1" t="n">
        <v>46040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29519-2023</t>
        </is>
      </c>
      <c r="B114" s="1" t="n">
        <v>45106.62018518519</v>
      </c>
      <c r="C114" s="1" t="n">
        <v>46040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36734-2022</t>
        </is>
      </c>
      <c r="B115" s="1" t="n">
        <v>44805</v>
      </c>
      <c r="C115" s="1" t="n">
        <v>46040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33726-2023</t>
        </is>
      </c>
      <c r="B116" s="1" t="n">
        <v>45119</v>
      </c>
      <c r="C116" s="1" t="n">
        <v>46040</v>
      </c>
      <c r="D116" t="inlineStr">
        <is>
          <t>ÖSTERGÖTLANDS LÄN</t>
        </is>
      </c>
      <c r="E116" t="inlineStr">
        <is>
          <t>SÖDERKÖPING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43041-2024</t>
        </is>
      </c>
      <c r="B117" s="1" t="n">
        <v>45567.42827546296</v>
      </c>
      <c r="C117" s="1" t="n">
        <v>46040</v>
      </c>
      <c r="D117" t="inlineStr">
        <is>
          <t>ÖSTERGÖTLANDS LÄN</t>
        </is>
      </c>
      <c r="E117" t="inlineStr">
        <is>
          <t>SÖDERKÖPING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6535-2023</t>
        </is>
      </c>
      <c r="B118" s="1" t="n">
        <v>44966</v>
      </c>
      <c r="C118" s="1" t="n">
        <v>46040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50590-2024</t>
        </is>
      </c>
      <c r="B119" s="1" t="n">
        <v>45601.61900462963</v>
      </c>
      <c r="C119" s="1" t="n">
        <v>46040</v>
      </c>
      <c r="D119" t="inlineStr">
        <is>
          <t>ÖSTERGÖTLANDS LÄN</t>
        </is>
      </c>
      <c r="E119" t="inlineStr">
        <is>
          <t>SÖDERKÖPING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6035-2023</t>
        </is>
      </c>
      <c r="B120" s="1" t="n">
        <v>44964.45189814815</v>
      </c>
      <c r="C120" s="1" t="n">
        <v>46040</v>
      </c>
      <c r="D120" t="inlineStr">
        <is>
          <t>ÖSTERGÖTLANDS LÄN</t>
        </is>
      </c>
      <c r="E120" t="inlineStr">
        <is>
          <t>SÖDERKÖPING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42358-2023</t>
        </is>
      </c>
      <c r="B121" s="1" t="n">
        <v>45180.52923611111</v>
      </c>
      <c r="C121" s="1" t="n">
        <v>46040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1614-2023</t>
        </is>
      </c>
      <c r="B122" s="1" t="n">
        <v>44937.70653935185</v>
      </c>
      <c r="C122" s="1" t="n">
        <v>46040</v>
      </c>
      <c r="D122" t="inlineStr">
        <is>
          <t>ÖSTERGÖTLANDS LÄN</t>
        </is>
      </c>
      <c r="E122" t="inlineStr">
        <is>
          <t>SÖDERKÖPING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41245-2023</t>
        </is>
      </c>
      <c r="B123" s="1" t="n">
        <v>45174</v>
      </c>
      <c r="C123" s="1" t="n">
        <v>46040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15034-2024</t>
        </is>
      </c>
      <c r="B124" s="1" t="n">
        <v>45399</v>
      </c>
      <c r="C124" s="1" t="n">
        <v>46040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45518-2025</t>
        </is>
      </c>
      <c r="B125" s="1" t="n">
        <v>45922.59006944444</v>
      </c>
      <c r="C125" s="1" t="n">
        <v>46040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2202-2026</t>
        </is>
      </c>
      <c r="B126" s="1" t="n">
        <v>46036.47854166666</v>
      </c>
      <c r="C126" s="1" t="n">
        <v>46040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45169-2025</t>
        </is>
      </c>
      <c r="B127" s="1" t="n">
        <v>45919.50013888889</v>
      </c>
      <c r="C127" s="1" t="n">
        <v>46040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12708-2024</t>
        </is>
      </c>
      <c r="B128" s="1" t="n">
        <v>45379</v>
      </c>
      <c r="C128" s="1" t="n">
        <v>46040</v>
      </c>
      <c r="D128" t="inlineStr">
        <is>
          <t>ÖSTERGÖTLANDS LÄN</t>
        </is>
      </c>
      <c r="E128" t="inlineStr">
        <is>
          <t>SÖDERKÖPING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30114-2024</t>
        </is>
      </c>
      <c r="B129" s="1" t="n">
        <v>45489.47268518519</v>
      </c>
      <c r="C129" s="1" t="n">
        <v>46040</v>
      </c>
      <c r="D129" t="inlineStr">
        <is>
          <t>ÖSTERGÖTLANDS LÄN</t>
        </is>
      </c>
      <c r="E129" t="inlineStr">
        <is>
          <t>SÖDERKÖPING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45648-2025</t>
        </is>
      </c>
      <c r="B130" s="1" t="n">
        <v>45923.32045138889</v>
      </c>
      <c r="C130" s="1" t="n">
        <v>46040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45774-2025</t>
        </is>
      </c>
      <c r="B131" s="1" t="n">
        <v>45923</v>
      </c>
      <c r="C131" s="1" t="n">
        <v>46040</v>
      </c>
      <c r="D131" t="inlineStr">
        <is>
          <t>ÖSTERGÖTLANDS LÄN</t>
        </is>
      </c>
      <c r="E131" t="inlineStr">
        <is>
          <t>SÖDERKÖPING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46195-2025</t>
        </is>
      </c>
      <c r="B132" s="1" t="n">
        <v>45924.68145833333</v>
      </c>
      <c r="C132" s="1" t="n">
        <v>46040</v>
      </c>
      <c r="D132" t="inlineStr">
        <is>
          <t>ÖSTERGÖTLANDS LÄN</t>
        </is>
      </c>
      <c r="E132" t="inlineStr">
        <is>
          <t>SÖDERKÖPING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46198-2025</t>
        </is>
      </c>
      <c r="B133" s="1" t="n">
        <v>45924.68908564815</v>
      </c>
      <c r="C133" s="1" t="n">
        <v>46040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2816-2026</t>
        </is>
      </c>
      <c r="B134" s="1" t="n">
        <v>46038.42606481481</v>
      </c>
      <c r="C134" s="1" t="n">
        <v>46040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46040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46725-2025</t>
        </is>
      </c>
      <c r="B136" s="1" t="n">
        <v>45926</v>
      </c>
      <c r="C136" s="1" t="n">
        <v>46040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46742-2025</t>
        </is>
      </c>
      <c r="B137" s="1" t="n">
        <v>45926.60870370371</v>
      </c>
      <c r="C137" s="1" t="n">
        <v>46040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46760-2025</t>
        </is>
      </c>
      <c r="B138" s="1" t="n">
        <v>45926.62155092593</v>
      </c>
      <c r="C138" s="1" t="n">
        <v>46040</v>
      </c>
      <c r="D138" t="inlineStr">
        <is>
          <t>ÖSTERGÖTLANDS LÄN</t>
        </is>
      </c>
      <c r="E138" t="inlineStr">
        <is>
          <t>SÖDERKÖPING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46649-2025</t>
        </is>
      </c>
      <c r="B139" s="1" t="n">
        <v>45926</v>
      </c>
      <c r="C139" s="1" t="n">
        <v>46040</v>
      </c>
      <c r="D139" t="inlineStr">
        <is>
          <t>ÖSTERGÖTLANDS LÄN</t>
        </is>
      </c>
      <c r="E139" t="inlineStr">
        <is>
          <t>SÖDERKÖPING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46780-2025</t>
        </is>
      </c>
      <c r="B140" s="1" t="n">
        <v>45926</v>
      </c>
      <c r="C140" s="1" t="n">
        <v>46040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46781-2025</t>
        </is>
      </c>
      <c r="B141" s="1" t="n">
        <v>45926.64165509259</v>
      </c>
      <c r="C141" s="1" t="n">
        <v>46040</v>
      </c>
      <c r="D141" t="inlineStr">
        <is>
          <t>ÖSTERGÖTLANDS LÄN</t>
        </is>
      </c>
      <c r="E141" t="inlineStr">
        <is>
          <t>SÖDERKÖPING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46789-2025</t>
        </is>
      </c>
      <c r="B142" s="1" t="n">
        <v>45926.64915509259</v>
      </c>
      <c r="C142" s="1" t="n">
        <v>46040</v>
      </c>
      <c r="D142" t="inlineStr">
        <is>
          <t>ÖSTERGÖTLANDS LÄN</t>
        </is>
      </c>
      <c r="E142" t="inlineStr">
        <is>
          <t>SÖDERKÖPING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46733-2025</t>
        </is>
      </c>
      <c r="B143" s="1" t="n">
        <v>45926</v>
      </c>
      <c r="C143" s="1" t="n">
        <v>46040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46764-2025</t>
        </is>
      </c>
      <c r="B144" s="1" t="n">
        <v>45926.62587962963</v>
      </c>
      <c r="C144" s="1" t="n">
        <v>46040</v>
      </c>
      <c r="D144" t="inlineStr">
        <is>
          <t>ÖSTERGÖTLANDS LÄN</t>
        </is>
      </c>
      <c r="E144" t="inlineStr">
        <is>
          <t>SÖDERKÖPING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46777-2025</t>
        </is>
      </c>
      <c r="B145" s="1" t="n">
        <v>45926.63993055555</v>
      </c>
      <c r="C145" s="1" t="n">
        <v>46040</v>
      </c>
      <c r="D145" t="inlineStr">
        <is>
          <t>ÖSTERGÖTLANDS LÄN</t>
        </is>
      </c>
      <c r="E145" t="inlineStr">
        <is>
          <t>SÖDERKÖPING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46802-2025</t>
        </is>
      </c>
      <c r="B146" s="1" t="n">
        <v>45926.67387731482</v>
      </c>
      <c r="C146" s="1" t="n">
        <v>46040</v>
      </c>
      <c r="D146" t="inlineStr">
        <is>
          <t>ÖSTERGÖTLANDS LÄN</t>
        </is>
      </c>
      <c r="E146" t="inlineStr">
        <is>
          <t>SÖDERKÖPING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46771-2025</t>
        </is>
      </c>
      <c r="B147" s="1" t="n">
        <v>45926.63214120371</v>
      </c>
      <c r="C147" s="1" t="n">
        <v>46040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46776-2025</t>
        </is>
      </c>
      <c r="B148" s="1" t="n">
        <v>45926.6360300926</v>
      </c>
      <c r="C148" s="1" t="n">
        <v>46040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46768-2025</t>
        </is>
      </c>
      <c r="B149" s="1" t="n">
        <v>45926.62881944444</v>
      </c>
      <c r="C149" s="1" t="n">
        <v>46040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10187-2025</t>
        </is>
      </c>
      <c r="B150" s="1" t="n">
        <v>45719.69138888889</v>
      </c>
      <c r="C150" s="1" t="n">
        <v>46040</v>
      </c>
      <c r="D150" t="inlineStr">
        <is>
          <t>ÖSTERGÖTLANDS LÄN</t>
        </is>
      </c>
      <c r="E150" t="inlineStr">
        <is>
          <t>SÖDERKÖPING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49569-2022</t>
        </is>
      </c>
      <c r="B151" s="1" t="n">
        <v>44862</v>
      </c>
      <c r="C151" s="1" t="n">
        <v>46040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38595-2022</t>
        </is>
      </c>
      <c r="B152" s="1" t="n">
        <v>44813</v>
      </c>
      <c r="C152" s="1" t="n">
        <v>46040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Holmen skog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48372-2025</t>
        </is>
      </c>
      <c r="B153" s="1" t="n">
        <v>45933.68805555555</v>
      </c>
      <c r="C153" s="1" t="n">
        <v>46040</v>
      </c>
      <c r="D153" t="inlineStr">
        <is>
          <t>ÖSTERGÖTLANDS LÄN</t>
        </is>
      </c>
      <c r="E153" t="inlineStr">
        <is>
          <t>SÖDERKÖPING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9734-2023</t>
        </is>
      </c>
      <c r="B154" s="1" t="n">
        <v>44984</v>
      </c>
      <c r="C154" s="1" t="n">
        <v>46040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9799-2023</t>
        </is>
      </c>
      <c r="B155" s="1" t="n">
        <v>44984.65405092593</v>
      </c>
      <c r="C155" s="1" t="n">
        <v>46040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45044-2023</t>
        </is>
      </c>
      <c r="B156" s="1" t="n">
        <v>45191</v>
      </c>
      <c r="C156" s="1" t="n">
        <v>46040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13865-2025</t>
        </is>
      </c>
      <c r="B157" s="1" t="n">
        <v>45737.57474537037</v>
      </c>
      <c r="C157" s="1" t="n">
        <v>46040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13889-2025</t>
        </is>
      </c>
      <c r="B158" s="1" t="n">
        <v>45737.61777777778</v>
      </c>
      <c r="C158" s="1" t="n">
        <v>46040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13920-2025</t>
        </is>
      </c>
      <c r="B159" s="1" t="n">
        <v>45737.65708333333</v>
      </c>
      <c r="C159" s="1" t="n">
        <v>46040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50588-2024</t>
        </is>
      </c>
      <c r="B160" s="1" t="n">
        <v>45601.6178125</v>
      </c>
      <c r="C160" s="1" t="n">
        <v>46040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37692-2023</t>
        </is>
      </c>
      <c r="B161" s="1" t="n">
        <v>45159.56984953704</v>
      </c>
      <c r="C161" s="1" t="n">
        <v>46040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42753-2023</t>
        </is>
      </c>
      <c r="B162" s="1" t="n">
        <v>45181</v>
      </c>
      <c r="C162" s="1" t="n">
        <v>46040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27464-2023</t>
        </is>
      </c>
      <c r="B163" s="1" t="n">
        <v>45097</v>
      </c>
      <c r="C163" s="1" t="n">
        <v>46040</v>
      </c>
      <c r="D163" t="inlineStr">
        <is>
          <t>ÖSTERGÖTLANDS LÄN</t>
        </is>
      </c>
      <c r="E163" t="inlineStr">
        <is>
          <t>SÖDERKÖPING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1399-2025</t>
        </is>
      </c>
      <c r="B164" s="1" t="n">
        <v>45667</v>
      </c>
      <c r="C164" s="1" t="n">
        <v>46040</v>
      </c>
      <c r="D164" t="inlineStr">
        <is>
          <t>ÖSTERGÖTLANDS LÄN</t>
        </is>
      </c>
      <c r="E164" t="inlineStr">
        <is>
          <t>SÖDERKÖPING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26912-2023</t>
        </is>
      </c>
      <c r="B165" s="1" t="n">
        <v>45093</v>
      </c>
      <c r="C165" s="1" t="n">
        <v>46040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21178-2024</t>
        </is>
      </c>
      <c r="B166" s="1" t="n">
        <v>45440.46841435185</v>
      </c>
      <c r="C166" s="1" t="n">
        <v>46040</v>
      </c>
      <c r="D166" t="inlineStr">
        <is>
          <t>ÖSTERGÖTLANDS LÄN</t>
        </is>
      </c>
      <c r="E166" t="inlineStr">
        <is>
          <t>SÖDERKÖPING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20254-2023</t>
        </is>
      </c>
      <c r="B167" s="1" t="n">
        <v>45055</v>
      </c>
      <c r="C167" s="1" t="n">
        <v>46040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26594-2023</t>
        </is>
      </c>
      <c r="B168" s="1" t="n">
        <v>45092</v>
      </c>
      <c r="C168" s="1" t="n">
        <v>46040</v>
      </c>
      <c r="D168" t="inlineStr">
        <is>
          <t>ÖSTERGÖTLANDS LÄN</t>
        </is>
      </c>
      <c r="E168" t="inlineStr">
        <is>
          <t>SÖDERKÖPING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3913-2025</t>
        </is>
      </c>
      <c r="B169" s="1" t="n">
        <v>45684.42604166667</v>
      </c>
      <c r="C169" s="1" t="n">
        <v>46040</v>
      </c>
      <c r="D169" t="inlineStr">
        <is>
          <t>ÖSTERGÖTLANDS LÄN</t>
        </is>
      </c>
      <c r="E169" t="inlineStr">
        <is>
          <t>SÖDERKÖPING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64211-2023</t>
        </is>
      </c>
      <c r="B170" s="1" t="n">
        <v>45279.76971064815</v>
      </c>
      <c r="C170" s="1" t="n">
        <v>46040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50040-2023</t>
        </is>
      </c>
      <c r="B171" s="1" t="n">
        <v>45215</v>
      </c>
      <c r="C171" s="1" t="n">
        <v>46040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Kyrkan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33736-2023</t>
        </is>
      </c>
      <c r="B172" s="1" t="n">
        <v>45119</v>
      </c>
      <c r="C172" s="1" t="n">
        <v>46040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44834-2023</t>
        </is>
      </c>
      <c r="B173" s="1" t="n">
        <v>45190</v>
      </c>
      <c r="C173" s="1" t="n">
        <v>46040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5072-2022</t>
        </is>
      </c>
      <c r="B174" s="1" t="n">
        <v>44593</v>
      </c>
      <c r="C174" s="1" t="n">
        <v>46040</v>
      </c>
      <c r="D174" t="inlineStr">
        <is>
          <t>ÖSTERGÖTLANDS LÄN</t>
        </is>
      </c>
      <c r="E174" t="inlineStr">
        <is>
          <t>SÖDERKÖPING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7062-2025</t>
        </is>
      </c>
      <c r="B175" s="1" t="n">
        <v>45701.65701388889</v>
      </c>
      <c r="C175" s="1" t="n">
        <v>46040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7063-2025</t>
        </is>
      </c>
      <c r="B176" s="1" t="n">
        <v>45701.66054398148</v>
      </c>
      <c r="C176" s="1" t="n">
        <v>46040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9746-2022</t>
        </is>
      </c>
      <c r="B177" s="1" t="n">
        <v>44618</v>
      </c>
      <c r="C177" s="1" t="n">
        <v>46040</v>
      </c>
      <c r="D177" t="inlineStr">
        <is>
          <t>ÖSTERGÖTLANDS LÄN</t>
        </is>
      </c>
      <c r="E177" t="inlineStr">
        <is>
          <t>SÖDERKÖPING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21901-2022</t>
        </is>
      </c>
      <c r="B178" s="1" t="n">
        <v>44711.45055555556</v>
      </c>
      <c r="C178" s="1" t="n">
        <v>46040</v>
      </c>
      <c r="D178" t="inlineStr">
        <is>
          <t>ÖSTERGÖTLANDS LÄN</t>
        </is>
      </c>
      <c r="E178" t="inlineStr">
        <is>
          <t>SÖDERKÖPING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49367-2023</t>
        </is>
      </c>
      <c r="B179" s="1" t="n">
        <v>45211</v>
      </c>
      <c r="C179" s="1" t="n">
        <v>46040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41363-2023</t>
        </is>
      </c>
      <c r="B180" s="1" t="n">
        <v>45174</v>
      </c>
      <c r="C180" s="1" t="n">
        <v>46040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10369-2024</t>
        </is>
      </c>
      <c r="B181" s="1" t="n">
        <v>45365</v>
      </c>
      <c r="C181" s="1" t="n">
        <v>46040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46417-2023</t>
        </is>
      </c>
      <c r="B182" s="1" t="n">
        <v>45197</v>
      </c>
      <c r="C182" s="1" t="n">
        <v>46040</v>
      </c>
      <c r="D182" t="inlineStr">
        <is>
          <t>ÖSTERGÖTLANDS LÄN</t>
        </is>
      </c>
      <c r="E182" t="inlineStr">
        <is>
          <t>SÖDERKÖPING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3919-2025</t>
        </is>
      </c>
      <c r="B183" s="1" t="n">
        <v>45684.44605324074</v>
      </c>
      <c r="C183" s="1" t="n">
        <v>46040</v>
      </c>
      <c r="D183" t="inlineStr">
        <is>
          <t>ÖSTERGÖTLANDS LÄN</t>
        </is>
      </c>
      <c r="E183" t="inlineStr">
        <is>
          <t>SÖDERKÖPING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41958-2023</t>
        </is>
      </c>
      <c r="B184" s="1" t="n">
        <v>45174</v>
      </c>
      <c r="C184" s="1" t="n">
        <v>46040</v>
      </c>
      <c r="D184" t="inlineStr">
        <is>
          <t>ÖSTERGÖTLANDS LÄN</t>
        </is>
      </c>
      <c r="E184" t="inlineStr">
        <is>
          <t>SÖDERKÖPING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56874-2023</t>
        </is>
      </c>
      <c r="B185" s="1" t="n">
        <v>45244</v>
      </c>
      <c r="C185" s="1" t="n">
        <v>46040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55772-2023</t>
        </is>
      </c>
      <c r="B186" s="1" t="n">
        <v>45239.48508101852</v>
      </c>
      <c r="C186" s="1" t="n">
        <v>46040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58372-2023</t>
        </is>
      </c>
      <c r="B187" s="1" t="n">
        <v>45250.65650462963</v>
      </c>
      <c r="C187" s="1" t="n">
        <v>46040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58398-2023</t>
        </is>
      </c>
      <c r="B188" s="1" t="n">
        <v>45250.68373842593</v>
      </c>
      <c r="C188" s="1" t="n">
        <v>46040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43891-2023</t>
        </is>
      </c>
      <c r="B189" s="1" t="n">
        <v>45187.65685185185</v>
      </c>
      <c r="C189" s="1" t="n">
        <v>46040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8999-2023</t>
        </is>
      </c>
      <c r="B190" s="1" t="n">
        <v>44979.56503472223</v>
      </c>
      <c r="C190" s="1" t="n">
        <v>46040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Allmännings- och besparingsskogar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309-2024</t>
        </is>
      </c>
      <c r="B191" s="1" t="n">
        <v>45295.5071875</v>
      </c>
      <c r="C191" s="1" t="n">
        <v>46040</v>
      </c>
      <c r="D191" t="inlineStr">
        <is>
          <t>ÖSTERGÖTLANDS LÄN</t>
        </is>
      </c>
      <c r="E191" t="inlineStr">
        <is>
          <t>SÖDERKÖPING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40357-2023</t>
        </is>
      </c>
      <c r="B192" s="1" t="n">
        <v>45169</v>
      </c>
      <c r="C192" s="1" t="n">
        <v>46040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17352-2025</t>
        </is>
      </c>
      <c r="B193" s="1" t="n">
        <v>45756</v>
      </c>
      <c r="C193" s="1" t="n">
        <v>46040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17357-2025</t>
        </is>
      </c>
      <c r="B194" s="1" t="n">
        <v>45756</v>
      </c>
      <c r="C194" s="1" t="n">
        <v>46040</v>
      </c>
      <c r="D194" t="inlineStr">
        <is>
          <t>ÖSTERGÖTLANDS LÄN</t>
        </is>
      </c>
      <c r="E194" t="inlineStr">
        <is>
          <t>SÖDERKÖPING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10190-2025</t>
        </is>
      </c>
      <c r="B195" s="1" t="n">
        <v>45719.69598379629</v>
      </c>
      <c r="C195" s="1" t="n">
        <v>46040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10194-2025</t>
        </is>
      </c>
      <c r="B196" s="1" t="n">
        <v>45719.69930555556</v>
      </c>
      <c r="C196" s="1" t="n">
        <v>46040</v>
      </c>
      <c r="D196" t="inlineStr">
        <is>
          <t>ÖSTERGÖTLANDS LÄN</t>
        </is>
      </c>
      <c r="E196" t="inlineStr">
        <is>
          <t>SÖDERKÖPING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58730-2024</t>
        </is>
      </c>
      <c r="B197" s="1" t="n">
        <v>45635.67076388889</v>
      </c>
      <c r="C197" s="1" t="n">
        <v>46040</v>
      </c>
      <c r="D197" t="inlineStr">
        <is>
          <t>ÖSTERGÖTLANDS LÄN</t>
        </is>
      </c>
      <c r="E197" t="inlineStr">
        <is>
          <t>SÖDERKÖPING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37684-2023</t>
        </is>
      </c>
      <c r="B198" s="1" t="n">
        <v>45159.56690972222</v>
      </c>
      <c r="C198" s="1" t="n">
        <v>46040</v>
      </c>
      <c r="D198" t="inlineStr">
        <is>
          <t>ÖSTERGÖTLANDS LÄN</t>
        </is>
      </c>
      <c r="E198" t="inlineStr">
        <is>
          <t>SÖDERKÖPING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37687-2023</t>
        </is>
      </c>
      <c r="B199" s="1" t="n">
        <v>45159.56805555556</v>
      </c>
      <c r="C199" s="1" t="n">
        <v>46040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61814-2025</t>
        </is>
      </c>
      <c r="B200" s="1" t="n">
        <v>46003.28984953704</v>
      </c>
      <c r="C200" s="1" t="n">
        <v>46040</v>
      </c>
      <c r="D200" t="inlineStr">
        <is>
          <t>ÖSTERGÖTLANDS LÄN</t>
        </is>
      </c>
      <c r="E200" t="inlineStr">
        <is>
          <t>SÖDERKÖPING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61816-2025</t>
        </is>
      </c>
      <c r="B201" s="1" t="n">
        <v>46003.29744212963</v>
      </c>
      <c r="C201" s="1" t="n">
        <v>46040</v>
      </c>
      <c r="D201" t="inlineStr">
        <is>
          <t>ÖSTERGÖTLANDS LÄN</t>
        </is>
      </c>
      <c r="E201" t="inlineStr">
        <is>
          <t>SÖDERKÖPING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61817-2025</t>
        </is>
      </c>
      <c r="B202" s="1" t="n">
        <v>46003.30361111111</v>
      </c>
      <c r="C202" s="1" t="n">
        <v>46040</v>
      </c>
      <c r="D202" t="inlineStr">
        <is>
          <t>ÖSTERGÖTLANDS LÄN</t>
        </is>
      </c>
      <c r="E202" t="inlineStr">
        <is>
          <t>SÖDERKÖPING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29660-2022</t>
        </is>
      </c>
      <c r="B203" s="1" t="n">
        <v>44754.7230787037</v>
      </c>
      <c r="C203" s="1" t="n">
        <v>46040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53874-2025</t>
        </is>
      </c>
      <c r="B204" s="1" t="n">
        <v>45961.39364583333</v>
      </c>
      <c r="C204" s="1" t="n">
        <v>46040</v>
      </c>
      <c r="D204" t="inlineStr">
        <is>
          <t>ÖSTERGÖTLANDS LÄN</t>
        </is>
      </c>
      <c r="E204" t="inlineStr">
        <is>
          <t>SÖDERKÖPING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57888-2022</t>
        </is>
      </c>
      <c r="B205" s="1" t="n">
        <v>44900</v>
      </c>
      <c r="C205" s="1" t="n">
        <v>46040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458-2024</t>
        </is>
      </c>
      <c r="B206" s="1" t="n">
        <v>45297</v>
      </c>
      <c r="C206" s="1" t="n">
        <v>46040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61813-2025</t>
        </is>
      </c>
      <c r="B207" s="1" t="n">
        <v>46003.28515046297</v>
      </c>
      <c r="C207" s="1" t="n">
        <v>46040</v>
      </c>
      <c r="D207" t="inlineStr">
        <is>
          <t>ÖSTERGÖTLANDS LÄN</t>
        </is>
      </c>
      <c r="E207" t="inlineStr">
        <is>
          <t>SÖDERKÖPING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59471-2023</t>
        </is>
      </c>
      <c r="B208" s="1" t="n">
        <v>45254</v>
      </c>
      <c r="C208" s="1" t="n">
        <v>46040</v>
      </c>
      <c r="D208" t="inlineStr">
        <is>
          <t>ÖSTERGÖTLANDS LÄN</t>
        </is>
      </c>
      <c r="E208" t="inlineStr">
        <is>
          <t>SÖDERKÖPING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8156-2023</t>
        </is>
      </c>
      <c r="B209" s="1" t="n">
        <v>44974.46912037037</v>
      </c>
      <c r="C209" s="1" t="n">
        <v>46040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62724-2025</t>
        </is>
      </c>
      <c r="B210" s="1" t="n">
        <v>46008.54895833333</v>
      </c>
      <c r="C210" s="1" t="n">
        <v>46040</v>
      </c>
      <c r="D210" t="inlineStr">
        <is>
          <t>ÖSTERGÖTLANDS LÄN</t>
        </is>
      </c>
      <c r="E210" t="inlineStr">
        <is>
          <t>SÖDERKÖPING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61514-2023</t>
        </is>
      </c>
      <c r="B211" s="1" t="n">
        <v>45265</v>
      </c>
      <c r="C211" s="1" t="n">
        <v>46040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62730-2025</t>
        </is>
      </c>
      <c r="B212" s="1" t="n">
        <v>46008.5571875</v>
      </c>
      <c r="C212" s="1" t="n">
        <v>46040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13625-2025</t>
        </is>
      </c>
      <c r="B213" s="1" t="n">
        <v>45736.63921296296</v>
      </c>
      <c r="C213" s="1" t="n">
        <v>46040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63236-2025</t>
        </is>
      </c>
      <c r="B214" s="1" t="n">
        <v>46010.51506944445</v>
      </c>
      <c r="C214" s="1" t="n">
        <v>46040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54787-2022</t>
        </is>
      </c>
      <c r="B215" s="1" t="n">
        <v>44883</v>
      </c>
      <c r="C215" s="1" t="n">
        <v>46040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43889-2023</t>
        </is>
      </c>
      <c r="B216" s="1" t="n">
        <v>45187.65445601852</v>
      </c>
      <c r="C216" s="1" t="n">
        <v>46040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31628-2022</t>
        </is>
      </c>
      <c r="B217" s="1" t="n">
        <v>44775</v>
      </c>
      <c r="C217" s="1" t="n">
        <v>46040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46422-2023</t>
        </is>
      </c>
      <c r="B218" s="1" t="n">
        <v>45197.55799768519</v>
      </c>
      <c r="C218" s="1" t="n">
        <v>46040</v>
      </c>
      <c r="D218" t="inlineStr">
        <is>
          <t>ÖSTERGÖTLANDS LÄN</t>
        </is>
      </c>
      <c r="E218" t="inlineStr">
        <is>
          <t>SÖDERKÖPING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56166-2025</t>
        </is>
      </c>
      <c r="B219" s="1" t="n">
        <v>45974.38498842593</v>
      </c>
      <c r="C219" s="1" t="n">
        <v>46040</v>
      </c>
      <c r="D219" t="inlineStr">
        <is>
          <t>ÖSTERGÖTLANDS LÄN</t>
        </is>
      </c>
      <c r="E219" t="inlineStr">
        <is>
          <t>SÖDERKÖPING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14579-2025</t>
        </is>
      </c>
      <c r="B220" s="1" t="n">
        <v>45742.30456018518</v>
      </c>
      <c r="C220" s="1" t="n">
        <v>46040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45549-2023</t>
        </is>
      </c>
      <c r="B221" s="1" t="n">
        <v>45194.57081018519</v>
      </c>
      <c r="C221" s="1" t="n">
        <v>46040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38646-2024</t>
        </is>
      </c>
      <c r="B222" s="1" t="n">
        <v>45546.86643518518</v>
      </c>
      <c r="C222" s="1" t="n">
        <v>46040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56163-2025</t>
        </is>
      </c>
      <c r="B223" s="1" t="n">
        <v>45974.37890046297</v>
      </c>
      <c r="C223" s="1" t="n">
        <v>46040</v>
      </c>
      <c r="D223" t="inlineStr">
        <is>
          <t>ÖSTERGÖTLANDS LÄN</t>
        </is>
      </c>
      <c r="E223" t="inlineStr">
        <is>
          <t>SÖDERKÖPING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6419-2023</t>
        </is>
      </c>
      <c r="B224" s="1" t="n">
        <v>44965</v>
      </c>
      <c r="C224" s="1" t="n">
        <v>46040</v>
      </c>
      <c r="D224" t="inlineStr">
        <is>
          <t>ÖSTERGÖTLANDS LÄN</t>
        </is>
      </c>
      <c r="E224" t="inlineStr">
        <is>
          <t>SÖDERKÖPING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58227-2022</t>
        </is>
      </c>
      <c r="B225" s="1" t="n">
        <v>44901.38127314814</v>
      </c>
      <c r="C225" s="1" t="n">
        <v>46040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55853-2022</t>
        </is>
      </c>
      <c r="B226" s="1" t="n">
        <v>44888</v>
      </c>
      <c r="C226" s="1" t="n">
        <v>46040</v>
      </c>
      <c r="D226" t="inlineStr">
        <is>
          <t>ÖSTERGÖTLANDS LÄN</t>
        </is>
      </c>
      <c r="E226" t="inlineStr">
        <is>
          <t>SÖDERKÖPING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15599-2025</t>
        </is>
      </c>
      <c r="B227" s="1" t="n">
        <v>45747.93793981482</v>
      </c>
      <c r="C227" s="1" t="n">
        <v>46040</v>
      </c>
      <c r="D227" t="inlineStr">
        <is>
          <t>ÖSTERGÖTLANDS LÄN</t>
        </is>
      </c>
      <c r="E227" t="inlineStr">
        <is>
          <t>SÖDERKÖPING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50873-2023</t>
        </is>
      </c>
      <c r="B228" s="1" t="n">
        <v>45218.36673611111</v>
      </c>
      <c r="C228" s="1" t="n">
        <v>46040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51748-2023</t>
        </is>
      </c>
      <c r="B229" s="1" t="n">
        <v>45222.67434027778</v>
      </c>
      <c r="C229" s="1" t="n">
        <v>46040</v>
      </c>
      <c r="D229" t="inlineStr">
        <is>
          <t>ÖSTERGÖTLANDS LÄN</t>
        </is>
      </c>
      <c r="E229" t="inlineStr">
        <is>
          <t>SÖDERKÖPING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69425-2021</t>
        </is>
      </c>
      <c r="B230" s="1" t="n">
        <v>44531</v>
      </c>
      <c r="C230" s="1" t="n">
        <v>46040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64825-2023</t>
        </is>
      </c>
      <c r="B231" s="1" t="n">
        <v>45282</v>
      </c>
      <c r="C231" s="1" t="n">
        <v>46040</v>
      </c>
      <c r="D231" t="inlineStr">
        <is>
          <t>ÖSTERGÖTLANDS LÄN</t>
        </is>
      </c>
      <c r="E231" t="inlineStr">
        <is>
          <t>SÖDERKÖPING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60640-2022</t>
        </is>
      </c>
      <c r="B232" s="1" t="n">
        <v>44911</v>
      </c>
      <c r="C232" s="1" t="n">
        <v>46040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45457-2023</t>
        </is>
      </c>
      <c r="B233" s="1" t="n">
        <v>45194</v>
      </c>
      <c r="C233" s="1" t="n">
        <v>46040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3786-2023</t>
        </is>
      </c>
      <c r="B234" s="1" t="n">
        <v>44951.5440625</v>
      </c>
      <c r="C234" s="1" t="n">
        <v>46040</v>
      </c>
      <c r="D234" t="inlineStr">
        <is>
          <t>ÖSTERGÖTLANDS LÄN</t>
        </is>
      </c>
      <c r="E234" t="inlineStr">
        <is>
          <t>SÖDERKÖPING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50051-2023</t>
        </is>
      </c>
      <c r="B235" s="1" t="n">
        <v>45215.50618055555</v>
      </c>
      <c r="C235" s="1" t="n">
        <v>46040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53315-2024</t>
        </is>
      </c>
      <c r="B236" s="1" t="n">
        <v>45614</v>
      </c>
      <c r="C236" s="1" t="n">
        <v>46040</v>
      </c>
      <c r="D236" t="inlineStr">
        <is>
          <t>ÖSTERGÖTLANDS LÄN</t>
        </is>
      </c>
      <c r="E236" t="inlineStr">
        <is>
          <t>SÖDERKÖPING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66362-2021</t>
        </is>
      </c>
      <c r="B237" s="1" t="n">
        <v>44518</v>
      </c>
      <c r="C237" s="1" t="n">
        <v>46040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46040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48395-2021</t>
        </is>
      </c>
      <c r="B239" s="1" t="n">
        <v>44452.3075</v>
      </c>
      <c r="C239" s="1" t="n">
        <v>46040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17360-2025</t>
        </is>
      </c>
      <c r="B240" s="1" t="n">
        <v>45756</v>
      </c>
      <c r="C240" s="1" t="n">
        <v>46040</v>
      </c>
      <c r="D240" t="inlineStr">
        <is>
          <t>ÖSTERGÖTLANDS LÄN</t>
        </is>
      </c>
      <c r="E240" t="inlineStr">
        <is>
          <t>SÖDERKÖPING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17361-2025</t>
        </is>
      </c>
      <c r="B241" s="1" t="n">
        <v>45756</v>
      </c>
      <c r="C241" s="1" t="n">
        <v>46040</v>
      </c>
      <c r="D241" t="inlineStr">
        <is>
          <t>ÖSTERGÖTLANDS LÄN</t>
        </is>
      </c>
      <c r="E241" t="inlineStr">
        <is>
          <t>SÖDERKÖPING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7208-2024</t>
        </is>
      </c>
      <c r="B242" s="1" t="n">
        <v>45344.61145833333</v>
      </c>
      <c r="C242" s="1" t="n">
        <v>46040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42355-2023</t>
        </is>
      </c>
      <c r="B243" s="1" t="n">
        <v>45180</v>
      </c>
      <c r="C243" s="1" t="n">
        <v>46040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56861-2023</t>
        </is>
      </c>
      <c r="B244" s="1" t="n">
        <v>45244</v>
      </c>
      <c r="C244" s="1" t="n">
        <v>46040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9002-2023</t>
        </is>
      </c>
      <c r="B245" s="1" t="n">
        <v>44979</v>
      </c>
      <c r="C245" s="1" t="n">
        <v>46040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Allmännings- och besparingsskogar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29374-2022</t>
        </is>
      </c>
      <c r="B246" s="1" t="n">
        <v>44753.39758101852</v>
      </c>
      <c r="C246" s="1" t="n">
        <v>46040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49227-2022</t>
        </is>
      </c>
      <c r="B247" s="1" t="n">
        <v>44861</v>
      </c>
      <c r="C247" s="1" t="n">
        <v>46040</v>
      </c>
      <c r="D247" t="inlineStr">
        <is>
          <t>ÖSTERGÖTLANDS LÄN</t>
        </is>
      </c>
      <c r="E247" t="inlineStr">
        <is>
          <t>SÖDERKÖPING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20065-2025</t>
        </is>
      </c>
      <c r="B248" s="1" t="n">
        <v>45772</v>
      </c>
      <c r="C248" s="1" t="n">
        <v>46040</v>
      </c>
      <c r="D248" t="inlineStr">
        <is>
          <t>ÖSTERGÖTLANDS LÄN</t>
        </is>
      </c>
      <c r="E248" t="inlineStr">
        <is>
          <t>SÖDERKÖPING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20967-2023</t>
        </is>
      </c>
      <c r="B249" s="1" t="n">
        <v>45061</v>
      </c>
      <c r="C249" s="1" t="n">
        <v>46040</v>
      </c>
      <c r="D249" t="inlineStr">
        <is>
          <t>ÖSTERGÖTLANDS LÄN</t>
        </is>
      </c>
      <c r="E249" t="inlineStr">
        <is>
          <t>SÖDERKÖPING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8799-2023</t>
        </is>
      </c>
      <c r="B250" s="1" t="n">
        <v>44978</v>
      </c>
      <c r="C250" s="1" t="n">
        <v>46040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11673-2023</t>
        </is>
      </c>
      <c r="B251" s="1" t="n">
        <v>44994.48273148148</v>
      </c>
      <c r="C251" s="1" t="n">
        <v>46040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50708-2024</t>
        </is>
      </c>
      <c r="B252" s="1" t="n">
        <v>45601</v>
      </c>
      <c r="C252" s="1" t="n">
        <v>46040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1247-2022</t>
        </is>
      </c>
      <c r="B253" s="1" t="n">
        <v>44572</v>
      </c>
      <c r="C253" s="1" t="n">
        <v>46040</v>
      </c>
      <c r="D253" t="inlineStr">
        <is>
          <t>ÖSTERGÖTLANDS LÄN</t>
        </is>
      </c>
      <c r="E253" t="inlineStr">
        <is>
          <t>SÖDERKÖPING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26432-2022</t>
        </is>
      </c>
      <c r="B254" s="1" t="n">
        <v>44736.4803587963</v>
      </c>
      <c r="C254" s="1" t="n">
        <v>46040</v>
      </c>
      <c r="D254" t="inlineStr">
        <is>
          <t>ÖSTERGÖTLANDS LÄN</t>
        </is>
      </c>
      <c r="E254" t="inlineStr">
        <is>
          <t>SÖDERKÖPING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57027-2024</t>
        </is>
      </c>
      <c r="B255" s="1" t="n">
        <v>45628.83202546297</v>
      </c>
      <c r="C255" s="1" t="n">
        <v>46040</v>
      </c>
      <c r="D255" t="inlineStr">
        <is>
          <t>ÖSTERGÖTLANDS LÄN</t>
        </is>
      </c>
      <c r="E255" t="inlineStr">
        <is>
          <t>SÖDERKÖPING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2951-2024</t>
        </is>
      </c>
      <c r="B256" s="1" t="n">
        <v>45315</v>
      </c>
      <c r="C256" s="1" t="n">
        <v>46040</v>
      </c>
      <c r="D256" t="inlineStr">
        <is>
          <t>ÖSTERGÖTLANDS LÄN</t>
        </is>
      </c>
      <c r="E256" t="inlineStr">
        <is>
          <t>SÖDERKÖPING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75-2024</t>
        </is>
      </c>
      <c r="B257" s="1" t="n">
        <v>45293.68796296296</v>
      </c>
      <c r="C257" s="1" t="n">
        <v>46040</v>
      </c>
      <c r="D257" t="inlineStr">
        <is>
          <t>ÖSTERGÖTLANDS LÄN</t>
        </is>
      </c>
      <c r="E257" t="inlineStr">
        <is>
          <t>SÖDERKÖPING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13606-2025</t>
        </is>
      </c>
      <c r="B258" s="1" t="n">
        <v>45736.61449074074</v>
      </c>
      <c r="C258" s="1" t="n">
        <v>46040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4498-2023</t>
        </is>
      </c>
      <c r="B259" s="1" t="n">
        <v>44956.55607638889</v>
      </c>
      <c r="C259" s="1" t="n">
        <v>46040</v>
      </c>
      <c r="D259" t="inlineStr">
        <is>
          <t>ÖSTERGÖTLANDS LÄN</t>
        </is>
      </c>
      <c r="E259" t="inlineStr">
        <is>
          <t>SÖDERKÖPING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27598-2023</t>
        </is>
      </c>
      <c r="B260" s="1" t="n">
        <v>45097</v>
      </c>
      <c r="C260" s="1" t="n">
        <v>46040</v>
      </c>
      <c r="D260" t="inlineStr">
        <is>
          <t>ÖSTERGÖTLANDS LÄN</t>
        </is>
      </c>
      <c r="E260" t="inlineStr">
        <is>
          <t>SÖDERKÖPING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5615-2023</t>
        </is>
      </c>
      <c r="B261" s="1" t="n">
        <v>44958</v>
      </c>
      <c r="C261" s="1" t="n">
        <v>46040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53889-2021</t>
        </is>
      </c>
      <c r="B262" s="1" t="n">
        <v>44469.69513888889</v>
      </c>
      <c r="C262" s="1" t="n">
        <v>46040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29514-2023</t>
        </is>
      </c>
      <c r="B263" s="1" t="n">
        <v>45106.61258101852</v>
      </c>
      <c r="C263" s="1" t="n">
        <v>46040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25790-2023</t>
        </is>
      </c>
      <c r="B264" s="1" t="n">
        <v>45090</v>
      </c>
      <c r="C264" s="1" t="n">
        <v>46040</v>
      </c>
      <c r="D264" t="inlineStr">
        <is>
          <t>ÖSTERGÖTLANDS LÄN</t>
        </is>
      </c>
      <c r="E264" t="inlineStr">
        <is>
          <t>SÖDERKÖPING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30438-2022</t>
        </is>
      </c>
      <c r="B265" s="1" t="n">
        <v>44761</v>
      </c>
      <c r="C265" s="1" t="n">
        <v>46040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50870-2023</t>
        </is>
      </c>
      <c r="B266" s="1" t="n">
        <v>45218.36380787037</v>
      </c>
      <c r="C266" s="1" t="n">
        <v>46040</v>
      </c>
      <c r="D266" t="inlineStr">
        <is>
          <t>ÖSTERGÖTLANDS LÄN</t>
        </is>
      </c>
      <c r="E266" t="inlineStr">
        <is>
          <t>SÖDERKÖPING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31415-2021</t>
        </is>
      </c>
      <c r="B267" s="1" t="n">
        <v>44368</v>
      </c>
      <c r="C267" s="1" t="n">
        <v>46040</v>
      </c>
      <c r="D267" t="inlineStr">
        <is>
          <t>ÖSTERGÖTLANDS LÄN</t>
        </is>
      </c>
      <c r="E267" t="inlineStr">
        <is>
          <t>SÖDERKÖPING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57349-2023</t>
        </is>
      </c>
      <c r="B268" s="1" t="n">
        <v>45245</v>
      </c>
      <c r="C268" s="1" t="n">
        <v>46040</v>
      </c>
      <c r="D268" t="inlineStr">
        <is>
          <t>ÖSTERGÖTLANDS LÄN</t>
        </is>
      </c>
      <c r="E268" t="inlineStr">
        <is>
          <t>SÖDERKÖPING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7902-2025</t>
        </is>
      </c>
      <c r="B269" s="1" t="n">
        <v>45707</v>
      </c>
      <c r="C269" s="1" t="n">
        <v>46040</v>
      </c>
      <c r="D269" t="inlineStr">
        <is>
          <t>ÖSTERGÖTLANDS LÄN</t>
        </is>
      </c>
      <c r="E269" t="inlineStr">
        <is>
          <t>SÖDERKÖPING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33731-2023</t>
        </is>
      </c>
      <c r="B270" s="1" t="n">
        <v>45119</v>
      </c>
      <c r="C270" s="1" t="n">
        <v>46040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33733-2023</t>
        </is>
      </c>
      <c r="B271" s="1" t="n">
        <v>45119</v>
      </c>
      <c r="C271" s="1" t="n">
        <v>46040</v>
      </c>
      <c r="D271" t="inlineStr">
        <is>
          <t>ÖSTERGÖTLANDS LÄN</t>
        </is>
      </c>
      <c r="E271" t="inlineStr">
        <is>
          <t>SÖDERKÖPING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44956.54292824074</v>
      </c>
      <c r="C272" s="1" t="n">
        <v>46040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410-2025</t>
        </is>
      </c>
      <c r="B273" s="1" t="n">
        <v>45663.66900462963</v>
      </c>
      <c r="C273" s="1" t="n">
        <v>46040</v>
      </c>
      <c r="D273" t="inlineStr">
        <is>
          <t>ÖSTERGÖTLANDS LÄN</t>
        </is>
      </c>
      <c r="E273" t="inlineStr">
        <is>
          <t>SÖDERKÖPING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31313-2024</t>
        </is>
      </c>
      <c r="B274" s="1" t="n">
        <v>45504</v>
      </c>
      <c r="C274" s="1" t="n">
        <v>46040</v>
      </c>
      <c r="D274" t="inlineStr">
        <is>
          <t>ÖSTERGÖTLANDS LÄN</t>
        </is>
      </c>
      <c r="E274" t="inlineStr">
        <is>
          <t>SÖDERKÖPING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20776-2023</t>
        </is>
      </c>
      <c r="B275" s="1" t="n">
        <v>45058.5816087963</v>
      </c>
      <c r="C275" s="1" t="n">
        <v>46040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26058-2022</t>
        </is>
      </c>
      <c r="B276" s="1" t="n">
        <v>44734</v>
      </c>
      <c r="C276" s="1" t="n">
        <v>46040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37694-2023</t>
        </is>
      </c>
      <c r="B277" s="1" t="n">
        <v>45159.57116898148</v>
      </c>
      <c r="C277" s="1" t="n">
        <v>46040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41134-2024</t>
        </is>
      </c>
      <c r="B278" s="1" t="n">
        <v>45559.46480324074</v>
      </c>
      <c r="C278" s="1" t="n">
        <v>46040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Allmännings- och besparingsskogar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61802-2022</t>
        </is>
      </c>
      <c r="B279" s="1" t="n">
        <v>44917</v>
      </c>
      <c r="C279" s="1" t="n">
        <v>46040</v>
      </c>
      <c r="D279" t="inlineStr">
        <is>
          <t>ÖSTERGÖTLANDS LÄN</t>
        </is>
      </c>
      <c r="E279" t="inlineStr">
        <is>
          <t>SÖDERKÖPING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60605-2022</t>
        </is>
      </c>
      <c r="B280" s="1" t="n">
        <v>44911</v>
      </c>
      <c r="C280" s="1" t="n">
        <v>46040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25273-2021</t>
        </is>
      </c>
      <c r="B281" s="1" t="n">
        <v>44342</v>
      </c>
      <c r="C281" s="1" t="n">
        <v>46040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40351-2023</t>
        </is>
      </c>
      <c r="B282" s="1" t="n">
        <v>45169</v>
      </c>
      <c r="C282" s="1" t="n">
        <v>46040</v>
      </c>
      <c r="D282" t="inlineStr">
        <is>
          <t>ÖSTERGÖTLANDS LÄN</t>
        </is>
      </c>
      <c r="E282" t="inlineStr">
        <is>
          <t>SÖDERKÖPING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40356-2023</t>
        </is>
      </c>
      <c r="B283" s="1" t="n">
        <v>45169</v>
      </c>
      <c r="C283" s="1" t="n">
        <v>46040</v>
      </c>
      <c r="D283" t="inlineStr">
        <is>
          <t>ÖSTERGÖTLANDS LÄN</t>
        </is>
      </c>
      <c r="E283" t="inlineStr">
        <is>
          <t>SÖDERKÖPING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58223-2022</t>
        </is>
      </c>
      <c r="B284" s="1" t="n">
        <v>44901.37307870371</v>
      </c>
      <c r="C284" s="1" t="n">
        <v>46040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35326-2022</t>
        </is>
      </c>
      <c r="B285" s="1" t="n">
        <v>44798</v>
      </c>
      <c r="C285" s="1" t="n">
        <v>46040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57255-2024</t>
        </is>
      </c>
      <c r="B286" s="1" t="n">
        <v>45629</v>
      </c>
      <c r="C286" s="1" t="n">
        <v>46040</v>
      </c>
      <c r="D286" t="inlineStr">
        <is>
          <t>ÖSTERGÖTLANDS LÄN</t>
        </is>
      </c>
      <c r="E286" t="inlineStr">
        <is>
          <t>SÖDERKÖPING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618-2025</t>
        </is>
      </c>
      <c r="B287" s="1" t="n">
        <v>45664</v>
      </c>
      <c r="C287" s="1" t="n">
        <v>46040</v>
      </c>
      <c r="D287" t="inlineStr">
        <is>
          <t>ÖSTERGÖTLANDS LÄN</t>
        </is>
      </c>
      <c r="E287" t="inlineStr">
        <is>
          <t>SÖDERKÖPING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11965-2021</t>
        </is>
      </c>
      <c r="B288" s="1" t="n">
        <v>44266</v>
      </c>
      <c r="C288" s="1" t="n">
        <v>46040</v>
      </c>
      <c r="D288" t="inlineStr">
        <is>
          <t>ÖSTERGÖTLANDS LÄN</t>
        </is>
      </c>
      <c r="E288" t="inlineStr">
        <is>
          <t>SÖDERKÖPING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45476-2023</t>
        </is>
      </c>
      <c r="B289" s="1" t="n">
        <v>45194.44329861111</v>
      </c>
      <c r="C289" s="1" t="n">
        <v>46040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356-2024</t>
        </is>
      </c>
      <c r="B290" s="1" t="n">
        <v>45295</v>
      </c>
      <c r="C290" s="1" t="n">
        <v>46040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16286-2023</t>
        </is>
      </c>
      <c r="B291" s="1" t="n">
        <v>45028</v>
      </c>
      <c r="C291" s="1" t="n">
        <v>46040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50866-2023</t>
        </is>
      </c>
      <c r="B292" s="1" t="n">
        <v>45218.36055555556</v>
      </c>
      <c r="C292" s="1" t="n">
        <v>46040</v>
      </c>
      <c r="D292" t="inlineStr">
        <is>
          <t>ÖSTERGÖTLANDS LÄN</t>
        </is>
      </c>
      <c r="E292" t="inlineStr">
        <is>
          <t>SÖDERKÖPING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20251-2023</t>
        </is>
      </c>
      <c r="B293" s="1" t="n">
        <v>45055</v>
      </c>
      <c r="C293" s="1" t="n">
        <v>46040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20253-2023</t>
        </is>
      </c>
      <c r="B294" s="1" t="n">
        <v>45055</v>
      </c>
      <c r="C294" s="1" t="n">
        <v>46040</v>
      </c>
      <c r="D294" t="inlineStr">
        <is>
          <t>ÖSTERGÖTLANDS LÄN</t>
        </is>
      </c>
      <c r="E294" t="inlineStr">
        <is>
          <t>SÖDERKÖPING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44819-2023</t>
        </is>
      </c>
      <c r="B295" s="1" t="n">
        <v>45190</v>
      </c>
      <c r="C295" s="1" t="n">
        <v>46040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45483-2023</t>
        </is>
      </c>
      <c r="B296" s="1" t="n">
        <v>45194.4577199074</v>
      </c>
      <c r="C296" s="1" t="n">
        <v>46040</v>
      </c>
      <c r="D296" t="inlineStr">
        <is>
          <t>ÖSTERGÖTLANDS LÄN</t>
        </is>
      </c>
      <c r="E296" t="inlineStr">
        <is>
          <t>SÖDERKÖPING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60160-2021</t>
        </is>
      </c>
      <c r="B297" s="1" t="n">
        <v>44495</v>
      </c>
      <c r="C297" s="1" t="n">
        <v>46040</v>
      </c>
      <c r="D297" t="inlineStr">
        <is>
          <t>ÖSTERGÖTLANDS LÄN</t>
        </is>
      </c>
      <c r="E297" t="inlineStr">
        <is>
          <t>SÖDERKÖPING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225-2023</t>
        </is>
      </c>
      <c r="B298" s="1" t="n">
        <v>44928</v>
      </c>
      <c r="C298" s="1" t="n">
        <v>46040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34917-2022</t>
        </is>
      </c>
      <c r="B299" s="1" t="n">
        <v>44796</v>
      </c>
      <c r="C299" s="1" t="n">
        <v>46040</v>
      </c>
      <c r="D299" t="inlineStr">
        <is>
          <t>ÖSTERGÖTLANDS LÄN</t>
        </is>
      </c>
      <c r="E299" t="inlineStr">
        <is>
          <t>SÖDERKÖPING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61511-2023</t>
        </is>
      </c>
      <c r="B300" s="1" t="n">
        <v>45265</v>
      </c>
      <c r="C300" s="1" t="n">
        <v>46040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5339-2025</t>
        </is>
      </c>
      <c r="B301" s="1" t="n">
        <v>45692</v>
      </c>
      <c r="C301" s="1" t="n">
        <v>46040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4163-2022</t>
        </is>
      </c>
      <c r="B302" s="1" t="n">
        <v>44588.52334490741</v>
      </c>
      <c r="C302" s="1" t="n">
        <v>46040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7071-2025</t>
        </is>
      </c>
      <c r="B303" s="1" t="n">
        <v>45701.66480324074</v>
      </c>
      <c r="C303" s="1" t="n">
        <v>46040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4282-2025</t>
        </is>
      </c>
      <c r="B304" s="1" t="n">
        <v>45685</v>
      </c>
      <c r="C304" s="1" t="n">
        <v>46040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Kommuner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49251-2024</t>
        </is>
      </c>
      <c r="B305" s="1" t="n">
        <v>45595.46804398148</v>
      </c>
      <c r="C305" s="1" t="n">
        <v>46040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16417-2025</t>
        </is>
      </c>
      <c r="B306" s="1" t="n">
        <v>45751.46355324074</v>
      </c>
      <c r="C306" s="1" t="n">
        <v>46040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14705-2025</t>
        </is>
      </c>
      <c r="B307" s="1" t="n">
        <v>45742.60605324074</v>
      </c>
      <c r="C307" s="1" t="n">
        <v>46040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63392-2021</t>
        </is>
      </c>
      <c r="B308" s="1" t="n">
        <v>44508.5356712963</v>
      </c>
      <c r="C308" s="1" t="n">
        <v>46040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11951-2024</t>
        </is>
      </c>
      <c r="B309" s="1" t="n">
        <v>45376.69920138889</v>
      </c>
      <c r="C309" s="1" t="n">
        <v>46040</v>
      </c>
      <c r="D309" t="inlineStr">
        <is>
          <t>ÖSTERGÖTLANDS LÄN</t>
        </is>
      </c>
      <c r="E309" t="inlineStr">
        <is>
          <t>SÖDERKÖPING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44859-2023</t>
        </is>
      </c>
      <c r="B310" s="1" t="n">
        <v>45190.58648148148</v>
      </c>
      <c r="C310" s="1" t="n">
        <v>46040</v>
      </c>
      <c r="D310" t="inlineStr">
        <is>
          <t>ÖSTERGÖTLANDS LÄN</t>
        </is>
      </c>
      <c r="E310" t="inlineStr">
        <is>
          <t>SÖDERKÖPING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7055-2025</t>
        </is>
      </c>
      <c r="B311" s="1" t="n">
        <v>45701.65225694444</v>
      </c>
      <c r="C311" s="1" t="n">
        <v>46040</v>
      </c>
      <c r="D311" t="inlineStr">
        <is>
          <t>ÖSTERGÖTLANDS LÄN</t>
        </is>
      </c>
      <c r="E311" t="inlineStr">
        <is>
          <t>SÖDERKÖPING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34177-2021</t>
        </is>
      </c>
      <c r="B312" s="1" t="n">
        <v>44379</v>
      </c>
      <c r="C312" s="1" t="n">
        <v>46040</v>
      </c>
      <c r="D312" t="inlineStr">
        <is>
          <t>ÖSTERGÖTLANDS LÄN</t>
        </is>
      </c>
      <c r="E312" t="inlineStr">
        <is>
          <t>SÖDERKÖPING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4318-2023</t>
        </is>
      </c>
      <c r="B313" s="1" t="n">
        <v>44953</v>
      </c>
      <c r="C313" s="1" t="n">
        <v>46040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6350-2023</t>
        </is>
      </c>
      <c r="B314" s="1" t="n">
        <v>44965</v>
      </c>
      <c r="C314" s="1" t="n">
        <v>46040</v>
      </c>
      <c r="D314" t="inlineStr">
        <is>
          <t>ÖSTERGÖTLANDS LÄN</t>
        </is>
      </c>
      <c r="E314" t="inlineStr">
        <is>
          <t>SÖDERKÖPING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17358-2025</t>
        </is>
      </c>
      <c r="B315" s="1" t="n">
        <v>45756</v>
      </c>
      <c r="C315" s="1" t="n">
        <v>46040</v>
      </c>
      <c r="D315" t="inlineStr">
        <is>
          <t>ÖSTERGÖTLANDS LÄN</t>
        </is>
      </c>
      <c r="E315" t="inlineStr">
        <is>
          <t>SÖDERKÖPING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44174-2023</t>
        </is>
      </c>
      <c r="B316" s="1" t="n">
        <v>45188.50635416667</v>
      </c>
      <c r="C316" s="1" t="n">
        <v>46040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59876-2023</t>
        </is>
      </c>
      <c r="B317" s="1" t="n">
        <v>45257</v>
      </c>
      <c r="C317" s="1" t="n">
        <v>46040</v>
      </c>
      <c r="D317" t="inlineStr">
        <is>
          <t>ÖSTERGÖTLANDS LÄN</t>
        </is>
      </c>
      <c r="E317" t="inlineStr">
        <is>
          <t>SÖDERKÖPING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48555-2023</t>
        </is>
      </c>
      <c r="B318" s="1" t="n">
        <v>45208</v>
      </c>
      <c r="C318" s="1" t="n">
        <v>46040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8558-2025</t>
        </is>
      </c>
      <c r="B319" s="1" t="n">
        <v>45709.62162037037</v>
      </c>
      <c r="C319" s="1" t="n">
        <v>46040</v>
      </c>
      <c r="D319" t="inlineStr">
        <is>
          <t>ÖSTERGÖTLANDS LÄN</t>
        </is>
      </c>
      <c r="E319" t="inlineStr">
        <is>
          <t>SÖDERKÖPING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4526-2025</t>
        </is>
      </c>
      <c r="B320" s="1" t="n">
        <v>45687.26951388889</v>
      </c>
      <c r="C320" s="1" t="n">
        <v>46040</v>
      </c>
      <c r="D320" t="inlineStr">
        <is>
          <t>ÖSTERGÖTLANDS LÄN</t>
        </is>
      </c>
      <c r="E320" t="inlineStr">
        <is>
          <t>SÖDERKÖPING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30324-2024</t>
        </is>
      </c>
      <c r="B321" s="1" t="n">
        <v>45490.92943287037</v>
      </c>
      <c r="C321" s="1" t="n">
        <v>46040</v>
      </c>
      <c r="D321" t="inlineStr">
        <is>
          <t>ÖSTERGÖTLANDS LÄN</t>
        </is>
      </c>
      <c r="E321" t="inlineStr">
        <is>
          <t>SÖDERKÖPING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42673-2023</t>
        </is>
      </c>
      <c r="B322" s="1" t="n">
        <v>45181</v>
      </c>
      <c r="C322" s="1" t="n">
        <v>46040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1293-2025</t>
        </is>
      </c>
      <c r="B323" s="1" t="n">
        <v>45667.52725694444</v>
      </c>
      <c r="C323" s="1" t="n">
        <v>46040</v>
      </c>
      <c r="D323" t="inlineStr">
        <is>
          <t>ÖSTERGÖTLANDS LÄN</t>
        </is>
      </c>
      <c r="E323" t="inlineStr">
        <is>
          <t>SÖDERKÖPING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6615-2025</t>
        </is>
      </c>
      <c r="B324" s="1" t="n">
        <v>45700</v>
      </c>
      <c r="C324" s="1" t="n">
        <v>46040</v>
      </c>
      <c r="D324" t="inlineStr">
        <is>
          <t>ÖSTERGÖTLANDS LÄN</t>
        </is>
      </c>
      <c r="E324" t="inlineStr">
        <is>
          <t>SÖDERKÖPING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21416-2025</t>
        </is>
      </c>
      <c r="B325" s="1" t="n">
        <v>45782.49765046296</v>
      </c>
      <c r="C325" s="1" t="n">
        <v>46040</v>
      </c>
      <c r="D325" t="inlineStr">
        <is>
          <t>ÖSTERGÖTLANDS LÄN</t>
        </is>
      </c>
      <c r="E325" t="inlineStr">
        <is>
          <t>SÖDERKÖPING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31305-2024</t>
        </is>
      </c>
      <c r="B326" s="1" t="n">
        <v>45504</v>
      </c>
      <c r="C326" s="1" t="n">
        <v>46040</v>
      </c>
      <c r="D326" t="inlineStr">
        <is>
          <t>ÖSTERGÖTLANDS LÄN</t>
        </is>
      </c>
      <c r="E326" t="inlineStr">
        <is>
          <t>SÖDERKÖPING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31314-2024</t>
        </is>
      </c>
      <c r="B327" s="1" t="n">
        <v>45504</v>
      </c>
      <c r="C327" s="1" t="n">
        <v>46040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20310-2024</t>
        </is>
      </c>
      <c r="B328" s="1" t="n">
        <v>45435.35898148148</v>
      </c>
      <c r="C328" s="1" t="n">
        <v>46040</v>
      </c>
      <c r="D328" t="inlineStr">
        <is>
          <t>ÖSTERGÖTLANDS LÄN</t>
        </is>
      </c>
      <c r="E328" t="inlineStr">
        <is>
          <t>SÖDERKÖPING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5310-2025</t>
        </is>
      </c>
      <c r="B329" s="1" t="n">
        <v>45692</v>
      </c>
      <c r="C329" s="1" t="n">
        <v>46040</v>
      </c>
      <c r="D329" t="inlineStr">
        <is>
          <t>ÖSTERGÖTLANDS LÄN</t>
        </is>
      </c>
      <c r="E329" t="inlineStr">
        <is>
          <t>SÖDERKÖPING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51746-2023</t>
        </is>
      </c>
      <c r="B330" s="1" t="n">
        <v>45222.67246527778</v>
      </c>
      <c r="C330" s="1" t="n">
        <v>46040</v>
      </c>
      <c r="D330" t="inlineStr">
        <is>
          <t>ÖSTERGÖTLANDS LÄN</t>
        </is>
      </c>
      <c r="E330" t="inlineStr">
        <is>
          <t>SÖDERKÖPING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43495-2023</t>
        </is>
      </c>
      <c r="B331" s="1" t="n">
        <v>45184</v>
      </c>
      <c r="C331" s="1" t="n">
        <v>46040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50574-2024</t>
        </is>
      </c>
      <c r="B332" s="1" t="n">
        <v>45601.60746527778</v>
      </c>
      <c r="C332" s="1" t="n">
        <v>46040</v>
      </c>
      <c r="D332" t="inlineStr">
        <is>
          <t>ÖSTERGÖTLANDS LÄN</t>
        </is>
      </c>
      <c r="E332" t="inlineStr">
        <is>
          <t>SÖDERKÖPING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31312-2024</t>
        </is>
      </c>
      <c r="B333" s="1" t="n">
        <v>45504</v>
      </c>
      <c r="C333" s="1" t="n">
        <v>46040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22918-2025</t>
        </is>
      </c>
      <c r="B334" s="1" t="n">
        <v>45790.43162037037</v>
      </c>
      <c r="C334" s="1" t="n">
        <v>46040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9729-2023</t>
        </is>
      </c>
      <c r="B335" s="1" t="n">
        <v>44984</v>
      </c>
      <c r="C335" s="1" t="n">
        <v>46040</v>
      </c>
      <c r="D335" t="inlineStr">
        <is>
          <t>ÖSTERGÖTLANDS LÄN</t>
        </is>
      </c>
      <c r="E335" t="inlineStr">
        <is>
          <t>SÖDERKÖPING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31315-2024</t>
        </is>
      </c>
      <c r="B336" s="1" t="n">
        <v>45504</v>
      </c>
      <c r="C336" s="1" t="n">
        <v>46040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23451-2025</t>
        </is>
      </c>
      <c r="B337" s="1" t="n">
        <v>45792.41533564815</v>
      </c>
      <c r="C337" s="1" t="n">
        <v>46040</v>
      </c>
      <c r="D337" t="inlineStr">
        <is>
          <t>ÖSTERGÖTLANDS LÄN</t>
        </is>
      </c>
      <c r="E337" t="inlineStr">
        <is>
          <t>SÖDERKÖPING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23699-2025</t>
        </is>
      </c>
      <c r="B338" s="1" t="n">
        <v>45793.35515046296</v>
      </c>
      <c r="C338" s="1" t="n">
        <v>46040</v>
      </c>
      <c r="D338" t="inlineStr">
        <is>
          <t>ÖSTERGÖTLANDS LÄN</t>
        </is>
      </c>
      <c r="E338" t="inlineStr">
        <is>
          <t>SÖDERKÖPING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23695-2025</t>
        </is>
      </c>
      <c r="B339" s="1" t="n">
        <v>45793.35023148148</v>
      </c>
      <c r="C339" s="1" t="n">
        <v>46040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59885-2023</t>
        </is>
      </c>
      <c r="B340" s="1" t="n">
        <v>45257</v>
      </c>
      <c r="C340" s="1" t="n">
        <v>46040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24335-2025</t>
        </is>
      </c>
      <c r="B341" s="1" t="n">
        <v>45797.57333333333</v>
      </c>
      <c r="C341" s="1" t="n">
        <v>46040</v>
      </c>
      <c r="D341" t="inlineStr">
        <is>
          <t>ÖSTERGÖTLANDS LÄN</t>
        </is>
      </c>
      <c r="E341" t="inlineStr">
        <is>
          <t>SÖDERKÖPING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24344-2025</t>
        </is>
      </c>
      <c r="B342" s="1" t="n">
        <v>45797.57797453704</v>
      </c>
      <c r="C342" s="1" t="n">
        <v>46040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24345-2025</t>
        </is>
      </c>
      <c r="B343" s="1" t="n">
        <v>45797.58002314815</v>
      </c>
      <c r="C343" s="1" t="n">
        <v>46040</v>
      </c>
      <c r="D343" t="inlineStr">
        <is>
          <t>ÖSTERGÖTLANDS LÄN</t>
        </is>
      </c>
      <c r="E343" t="inlineStr">
        <is>
          <t>SÖDERKÖPING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24349-2025</t>
        </is>
      </c>
      <c r="B344" s="1" t="n">
        <v>45797.58252314815</v>
      </c>
      <c r="C344" s="1" t="n">
        <v>46040</v>
      </c>
      <c r="D344" t="inlineStr">
        <is>
          <t>ÖSTERGÖTLANDS LÄN</t>
        </is>
      </c>
      <c r="E344" t="inlineStr">
        <is>
          <t>SÖDERKÖPING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24354-2025</t>
        </is>
      </c>
      <c r="B345" s="1" t="n">
        <v>45797.59006944444</v>
      </c>
      <c r="C345" s="1" t="n">
        <v>46040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24355-2025</t>
        </is>
      </c>
      <c r="B346" s="1" t="n">
        <v>45797</v>
      </c>
      <c r="C346" s="1" t="n">
        <v>46040</v>
      </c>
      <c r="D346" t="inlineStr">
        <is>
          <t>ÖSTERGÖTLANDS LÄN</t>
        </is>
      </c>
      <c r="E346" t="inlineStr">
        <is>
          <t>SÖDERKÖPING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4224-2025</t>
        </is>
      </c>
      <c r="B347" s="1" t="n">
        <v>45685</v>
      </c>
      <c r="C347" s="1" t="n">
        <v>46040</v>
      </c>
      <c r="D347" t="inlineStr">
        <is>
          <t>ÖSTERGÖTLANDS LÄN</t>
        </is>
      </c>
      <c r="E347" t="inlineStr">
        <is>
          <t>SÖDERKÖPING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5300-2025</t>
        </is>
      </c>
      <c r="B348" s="1" t="n">
        <v>45692</v>
      </c>
      <c r="C348" s="1" t="n">
        <v>46040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2033-2023</t>
        </is>
      </c>
      <c r="B349" s="1" t="n">
        <v>44939</v>
      </c>
      <c r="C349" s="1" t="n">
        <v>46040</v>
      </c>
      <c r="D349" t="inlineStr">
        <is>
          <t>ÖSTERGÖTLANDS LÄN</t>
        </is>
      </c>
      <c r="E349" t="inlineStr">
        <is>
          <t>SÖDERKÖPING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28482-2025</t>
        </is>
      </c>
      <c r="B350" s="1" t="n">
        <v>45817</v>
      </c>
      <c r="C350" s="1" t="n">
        <v>46040</v>
      </c>
      <c r="D350" t="inlineStr">
        <is>
          <t>ÖSTERGÖTLANDS LÄN</t>
        </is>
      </c>
      <c r="E350" t="inlineStr">
        <is>
          <t>SÖDERKÖPING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28487-2025</t>
        </is>
      </c>
      <c r="B351" s="1" t="n">
        <v>45817</v>
      </c>
      <c r="C351" s="1" t="n">
        <v>46040</v>
      </c>
      <c r="D351" t="inlineStr">
        <is>
          <t>ÖSTERGÖTLANDS LÄN</t>
        </is>
      </c>
      <c r="E351" t="inlineStr">
        <is>
          <t>SÖDERKÖPING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28350-2025</t>
        </is>
      </c>
      <c r="B352" s="1" t="n">
        <v>45818.74125</v>
      </c>
      <c r="C352" s="1" t="n">
        <v>46040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28466-2025</t>
        </is>
      </c>
      <c r="B353" s="1" t="n">
        <v>45817</v>
      </c>
      <c r="C353" s="1" t="n">
        <v>46040</v>
      </c>
      <c r="D353" t="inlineStr">
        <is>
          <t>ÖSTERGÖTLANDS LÄN</t>
        </is>
      </c>
      <c r="E353" t="inlineStr">
        <is>
          <t>SÖDERKÖPING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14776-2025</t>
        </is>
      </c>
      <c r="B354" s="1" t="n">
        <v>45742.69717592592</v>
      </c>
      <c r="C354" s="1" t="n">
        <v>46040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28478-2025</t>
        </is>
      </c>
      <c r="B355" s="1" t="n">
        <v>45817</v>
      </c>
      <c r="C355" s="1" t="n">
        <v>46040</v>
      </c>
      <c r="D355" t="inlineStr">
        <is>
          <t>ÖSTERGÖTLANDS LÄN</t>
        </is>
      </c>
      <c r="E355" t="inlineStr">
        <is>
          <t>SÖDERKÖPING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28420-2025</t>
        </is>
      </c>
      <c r="B356" s="1" t="n">
        <v>45819</v>
      </c>
      <c r="C356" s="1" t="n">
        <v>46040</v>
      </c>
      <c r="D356" t="inlineStr">
        <is>
          <t>ÖSTERGÖTLANDS LÄN</t>
        </is>
      </c>
      <c r="E356" t="inlineStr">
        <is>
          <t>SÖDERKÖPING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30831-2025</t>
        </is>
      </c>
      <c r="B357" s="1" t="n">
        <v>45831.68800925926</v>
      </c>
      <c r="C357" s="1" t="n">
        <v>46040</v>
      </c>
      <c r="D357" t="inlineStr">
        <is>
          <t>ÖSTERGÖTLANDS LÄN</t>
        </is>
      </c>
      <c r="E357" t="inlineStr">
        <is>
          <t>SÖDERKÖPING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23121-2025</t>
        </is>
      </c>
      <c r="B358" s="1" t="n">
        <v>45791.37603009259</v>
      </c>
      <c r="C358" s="1" t="n">
        <v>46040</v>
      </c>
      <c r="D358" t="inlineStr">
        <is>
          <t>ÖSTERGÖTLANDS LÄN</t>
        </is>
      </c>
      <c r="E358" t="inlineStr">
        <is>
          <t>SÖDERKÖPING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31686-2025</t>
        </is>
      </c>
      <c r="B359" s="1" t="n">
        <v>45834.39778935185</v>
      </c>
      <c r="C359" s="1" t="n">
        <v>46040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32641-2025</t>
        </is>
      </c>
      <c r="B360" s="1" t="n">
        <v>45838.65972222222</v>
      </c>
      <c r="C360" s="1" t="n">
        <v>46040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32586-2025</t>
        </is>
      </c>
      <c r="B361" s="1" t="n">
        <v>45838.60056712963</v>
      </c>
      <c r="C361" s="1" t="n">
        <v>46040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32643-2025</t>
        </is>
      </c>
      <c r="B362" s="1" t="n">
        <v>45838.66276620371</v>
      </c>
      <c r="C362" s="1" t="n">
        <v>46040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32646-2025</t>
        </is>
      </c>
      <c r="B363" s="1" t="n">
        <v>45838.66570601852</v>
      </c>
      <c r="C363" s="1" t="n">
        <v>46040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34392-2025</t>
        </is>
      </c>
      <c r="B364" s="1" t="n">
        <v>45846</v>
      </c>
      <c r="C364" s="1" t="n">
        <v>46040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34404-2025</t>
        </is>
      </c>
      <c r="B365" s="1" t="n">
        <v>45846</v>
      </c>
      <c r="C365" s="1" t="n">
        <v>46040</v>
      </c>
      <c r="D365" t="inlineStr">
        <is>
          <t>ÖSTERGÖTLANDS LÄN</t>
        </is>
      </c>
      <c r="E365" t="inlineStr">
        <is>
          <t>SÖDERKÖPING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34981-2025</t>
        </is>
      </c>
      <c r="B366" s="1" t="n">
        <v>45849</v>
      </c>
      <c r="C366" s="1" t="n">
        <v>46040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43949-2024</t>
        </is>
      </c>
      <c r="B367" s="1" t="n">
        <v>45572.47253472222</v>
      </c>
      <c r="C367" s="1" t="n">
        <v>46040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34969-2025</t>
        </is>
      </c>
      <c r="B368" s="1" t="n">
        <v>45849</v>
      </c>
      <c r="C368" s="1" t="n">
        <v>46040</v>
      </c>
      <c r="D368" t="inlineStr">
        <is>
          <t>ÖSTERGÖTLANDS LÄN</t>
        </is>
      </c>
      <c r="E368" t="inlineStr">
        <is>
          <t>SÖDERKÖPING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34979-2025</t>
        </is>
      </c>
      <c r="B369" s="1" t="n">
        <v>45849</v>
      </c>
      <c r="C369" s="1" t="n">
        <v>46040</v>
      </c>
      <c r="D369" t="inlineStr">
        <is>
          <t>ÖSTERGÖTLANDS LÄN</t>
        </is>
      </c>
      <c r="E369" t="inlineStr">
        <is>
          <t>SÖDERKÖPING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34871-2025</t>
        </is>
      </c>
      <c r="B370" s="1" t="n">
        <v>45849</v>
      </c>
      <c r="C370" s="1" t="n">
        <v>46040</v>
      </c>
      <c r="D370" t="inlineStr">
        <is>
          <t>ÖSTERGÖTLANDS LÄN</t>
        </is>
      </c>
      <c r="E370" t="inlineStr">
        <is>
          <t>SÖDERKÖPING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34971-2025</t>
        </is>
      </c>
      <c r="B371" s="1" t="n">
        <v>45849</v>
      </c>
      <c r="C371" s="1" t="n">
        <v>46040</v>
      </c>
      <c r="D371" t="inlineStr">
        <is>
          <t>ÖSTERGÖTLANDS LÄN</t>
        </is>
      </c>
      <c r="E371" t="inlineStr">
        <is>
          <t>SÖDERKÖPING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34982-2025</t>
        </is>
      </c>
      <c r="B372" s="1" t="n">
        <v>45849.70490740741</v>
      </c>
      <c r="C372" s="1" t="n">
        <v>46040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4328-2025</t>
        </is>
      </c>
      <c r="B373" s="1" t="n">
        <v>45685</v>
      </c>
      <c r="C373" s="1" t="n">
        <v>46040</v>
      </c>
      <c r="D373" t="inlineStr">
        <is>
          <t>ÖSTERGÖTLANDS LÄN</t>
        </is>
      </c>
      <c r="E373" t="inlineStr">
        <is>
          <t>SÖDERKÖPING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34973-2025</t>
        </is>
      </c>
      <c r="B374" s="1" t="n">
        <v>45849</v>
      </c>
      <c r="C374" s="1" t="n">
        <v>46040</v>
      </c>
      <c r="D374" t="inlineStr">
        <is>
          <t>ÖSTERGÖTLANDS LÄN</t>
        </is>
      </c>
      <c r="E374" t="inlineStr">
        <is>
          <t>SÖDERKÖPING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47428-2024</t>
        </is>
      </c>
      <c r="B375" s="1" t="n">
        <v>45586</v>
      </c>
      <c r="C375" s="1" t="n">
        <v>46040</v>
      </c>
      <c r="D375" t="inlineStr">
        <is>
          <t>ÖSTERGÖTLANDS LÄN</t>
        </is>
      </c>
      <c r="E375" t="inlineStr">
        <is>
          <t>SÖDERKÖPING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2026-01-18T11:02:44Z</dcterms:created>
  <dcterms:modified xmlns:dcterms="http://purl.org/dc/terms/" xmlns:xsi="http://www.w3.org/2001/XMLSchema-instance" xsi:type="dcterms:W3CDTF">2026-01-18T11:02:45Z</dcterms:modified>
</cp:coreProperties>
</file>