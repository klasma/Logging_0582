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46294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46294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46294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46294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46294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46294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46294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46294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46294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46294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46294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46294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46294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46294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46294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46294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46294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46294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46294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46294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A 38709-2026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46283</v>
      </c>
      <c r="E34" s="1" t="n">
        <v>46294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Allmännings- och besparingsskogar</t>
        </is>
      </c>
      <c r="I34" t="n">
        <v>9.5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HYPERLINK("https://klasma.github.io/Logging_0582/artfynd/A 38709-2026 artfynd.xlsx", "A 38709-2026")</f>
        <v/>
      </c>
      <c r="X34">
        <f>HYPERLINK("https://klasma.github.io/Logging_0582/kartor/A 38709-2026 karta.png", "A 38709-2026")</f>
        <v/>
      </c>
      <c r="Y34">
        <f>HYPERLINK("https://klasma.github.io/Logging_0582/kartor_geotiff/A 38709-2026 georefererad karta.tif", "A 38709-2026")</f>
        <v/>
      </c>
      <c r="AA34">
        <f>HYPERLINK("https://klasma.github.io/Logging_0582/klagomål/A 38709-2026 FSC-klagomål.docx", "A 38709-2026")</f>
        <v/>
      </c>
      <c r="AB34">
        <f>HYPERLINK("https://klasma.github.io/Logging_0582/klagomålsmail/A 38709-2026 FSC-klagomål mail.docx", "A 38709-2026")</f>
        <v/>
      </c>
      <c r="AC34">
        <f>HYPERLINK("https://klasma.github.io/Logging_0582/tillsyn/A 38709-2026 tillsynsbegäran.docx", "A 38709-2026")</f>
        <v/>
      </c>
      <c r="AD34">
        <f>HYPERLINK("https://klasma.github.io/Logging_0582/tillsynsmail/A 38709-2026 tillsynsbegäran mail.docx", "A 38709-2026")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46294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46294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46294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46294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46294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46294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46294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46294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46294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46294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46294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46294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46294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46294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46294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46294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46294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46294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46294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46294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46294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46294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46294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46294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46294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46294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46294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46294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46294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46294</v>
      </c>
      <c r="F64" t="inlineStr">
        <is>
          <t>ÖSTERGÖTLANDS LÄN</t>
        </is>
      </c>
      <c r="G64" t="inlineStr">
        <is>
          <t>SÖDERKÖPING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46294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46294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46294</v>
      </c>
      <c r="F67" t="inlineStr">
        <is>
          <t>ÖSTERGÖTLANDS LÄN</t>
        </is>
      </c>
      <c r="G67" t="inlineStr">
        <is>
          <t>SÖDERKÖPING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51746-2023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46294</v>
      </c>
      <c r="F68" t="inlineStr">
        <is>
          <t>ÖSTERGÖTLANDS LÄN</t>
        </is>
      </c>
      <c r="G68" t="inlineStr">
        <is>
          <t>SÖDERKÖPING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45504</v>
      </c>
      <c r="E69" s="1" t="n">
        <v>46294</v>
      </c>
      <c r="F69" t="inlineStr">
        <is>
          <t>ÖSTERGÖTLANDS LÄN</t>
        </is>
      </c>
      <c r="G69" t="inlineStr">
        <is>
          <t>SÖDERKÖPING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46294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46294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45504</v>
      </c>
      <c r="E72" s="1" t="n">
        <v>46294</v>
      </c>
      <c r="F72" t="inlineStr">
        <is>
          <t>ÖSTERGÖTLANDS LÄN</t>
        </is>
      </c>
      <c r="G72" t="inlineStr">
        <is>
          <t>SÖDERKÖPING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46003</v>
      </c>
      <c r="E73" s="1" t="n">
        <v>46294</v>
      </c>
      <c r="F73" t="inlineStr">
        <is>
          <t>ÖSTERGÖTLANDS LÄN</t>
        </is>
      </c>
      <c r="G73" t="inlineStr">
        <is>
          <t>SÖDERKÖPING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46294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46294</v>
      </c>
      <c r="F75" t="inlineStr">
        <is>
          <t>ÖSTERGÖTLANDS LÄN</t>
        </is>
      </c>
      <c r="G75" t="inlineStr">
        <is>
          <t>SÖDERKÖPING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46003</v>
      </c>
      <c r="E76" s="1" t="n">
        <v>46294</v>
      </c>
      <c r="F76" t="inlineStr">
        <is>
          <t>ÖSTERGÖTLANDS LÄN</t>
        </is>
      </c>
      <c r="G76" t="inlineStr">
        <is>
          <t>SÖDERKÖPING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46294</v>
      </c>
      <c r="F77" t="inlineStr">
        <is>
          <t>ÖSTERGÖTLANDS LÄN</t>
        </is>
      </c>
      <c r="G77" t="inlineStr">
        <is>
          <t>SÖDERKÖPING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46294</v>
      </c>
      <c r="F78" t="inlineStr">
        <is>
          <t>ÖSTERGÖTLANDS LÄN</t>
        </is>
      </c>
      <c r="G78" t="inlineStr">
        <is>
          <t>SÖDERKÖPING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45504</v>
      </c>
      <c r="E79" s="1" t="n">
        <v>46294</v>
      </c>
      <c r="F79" t="inlineStr">
        <is>
          <t>ÖSTERGÖTLANDS LÄN</t>
        </is>
      </c>
      <c r="G79" t="inlineStr">
        <is>
          <t>SÖDERKÖPING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45504</v>
      </c>
      <c r="E80" s="1" t="n">
        <v>46294</v>
      </c>
      <c r="F80" t="inlineStr">
        <is>
          <t>ÖSTERGÖTLANDS LÄN</t>
        </is>
      </c>
      <c r="G80" t="inlineStr">
        <is>
          <t>SÖDERKÖPING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45184</v>
      </c>
      <c r="E81" s="1" t="n">
        <v>46294</v>
      </c>
      <c r="F81" t="inlineStr">
        <is>
          <t>ÖSTERGÖTLANDS LÄN</t>
        </is>
      </c>
      <c r="G81" t="inlineStr">
        <is>
          <t>SÖDERKÖPING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45790</v>
      </c>
      <c r="E82" s="1" t="n">
        <v>46294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45667</v>
      </c>
      <c r="E83" s="1" t="n">
        <v>46294</v>
      </c>
      <c r="F83" t="inlineStr">
        <is>
          <t>ÖSTERGÖTLANDS LÄN</t>
        </is>
      </c>
      <c r="G83" t="inlineStr">
        <is>
          <t>SÖDERKÖPING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46294</v>
      </c>
      <c r="F84" t="inlineStr">
        <is>
          <t>ÖSTERGÖTLANDS LÄN</t>
        </is>
      </c>
      <c r="G84" t="inlineStr">
        <is>
          <t>SÖDERKÖPING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46294</v>
      </c>
      <c r="F85" t="inlineStr">
        <is>
          <t>ÖSTERGÖTLANDS LÄN</t>
        </is>
      </c>
      <c r="G85" t="inlineStr">
        <is>
          <t>SÖDERKÖPING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46294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46294</v>
      </c>
      <c r="F87" t="inlineStr">
        <is>
          <t>ÖSTERGÖTLANDS LÄN</t>
        </is>
      </c>
      <c r="G87" t="inlineStr">
        <is>
          <t>SÖDERKÖPING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46294</v>
      </c>
      <c r="F88" t="inlineStr">
        <is>
          <t>ÖSTERGÖTLANDS LÄN</t>
        </is>
      </c>
      <c r="G88" t="inlineStr">
        <is>
          <t>SÖDERKÖPING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46294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13625-2025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46294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46294</v>
      </c>
      <c r="F91" t="inlineStr">
        <is>
          <t>ÖSTERGÖTLANDS LÄN</t>
        </is>
      </c>
      <c r="G91" t="inlineStr">
        <is>
          <t>SÖDERKÖPING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46294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46294</v>
      </c>
      <c r="F93" t="inlineStr">
        <is>
          <t>ÖSTERGÖTLANDS LÄN</t>
        </is>
      </c>
      <c r="G93" t="inlineStr">
        <is>
          <t>SÖDERKÖPING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45797</v>
      </c>
      <c r="E94" s="1" t="n">
        <v>46294</v>
      </c>
      <c r="F94" t="inlineStr">
        <is>
          <t>ÖSTERGÖTLANDS LÄN</t>
        </is>
      </c>
      <c r="G94" t="inlineStr">
        <is>
          <t>SÖDERKÖPING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46294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39854-2025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46294</v>
      </c>
      <c r="F96" t="inlineStr">
        <is>
          <t>ÖSTERGÖTLANDS LÄN</t>
        </is>
      </c>
      <c r="G96" t="inlineStr">
        <is>
          <t>SÖDERKÖPING</t>
        </is>
      </c>
      <c r="I96" t="n">
        <v>26.6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46294</v>
      </c>
      <c r="F97" t="inlineStr">
        <is>
          <t>ÖSTERGÖTLANDS LÄN</t>
        </is>
      </c>
      <c r="G97" t="inlineStr">
        <is>
          <t>SÖDERKÖPING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44736</v>
      </c>
      <c r="E98" s="1" t="n">
        <v>46294</v>
      </c>
      <c r="F98" t="inlineStr">
        <is>
          <t>ÖSTERGÖTLANDS LÄN</t>
        </is>
      </c>
      <c r="G98" t="inlineStr">
        <is>
          <t>SÖDERKÖPING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46294</v>
      </c>
      <c r="F99" t="inlineStr">
        <is>
          <t>ÖSTERGÖTLANDS LÄN</t>
        </is>
      </c>
      <c r="G99" t="inlineStr">
        <is>
          <t>SÖDERKÖPING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46294</v>
      </c>
      <c r="F100" t="inlineStr">
        <is>
          <t>ÖSTERGÖTLANDS LÄN</t>
        </is>
      </c>
      <c r="G100" t="inlineStr">
        <is>
          <t>SÖDERKÖPING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45663</v>
      </c>
      <c r="E101" s="1" t="n">
        <v>46294</v>
      </c>
      <c r="F101" t="inlineStr">
        <is>
          <t>ÖSTERGÖTLANDS LÄN</t>
        </is>
      </c>
      <c r="G101" t="inlineStr">
        <is>
          <t>SÖDERKÖPING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44939</v>
      </c>
      <c r="E102" s="1" t="n">
        <v>46294</v>
      </c>
      <c r="F102" t="inlineStr">
        <is>
          <t>ÖSTERGÖTLANDS LÄN</t>
        </is>
      </c>
      <c r="G102" t="inlineStr">
        <is>
          <t>SÖDERKÖPING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46294</v>
      </c>
      <c r="F103" t="inlineStr">
        <is>
          <t>ÖSTERGÖTLANDS LÄN</t>
        </is>
      </c>
      <c r="G103" t="inlineStr">
        <is>
          <t>SÖDERKÖPING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45190</v>
      </c>
      <c r="E104" s="1" t="n">
        <v>46294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46294</v>
      </c>
      <c r="F105" t="inlineStr">
        <is>
          <t>ÖSTERGÖTLANDS LÄN</t>
        </is>
      </c>
      <c r="G105" t="inlineStr">
        <is>
          <t>SÖDERKÖPING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25790-2023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45090</v>
      </c>
      <c r="E106" s="1" t="n">
        <v>46294</v>
      </c>
      <c r="F106" t="inlineStr">
        <is>
          <t>ÖSTERGÖTLANDS LÄN</t>
        </is>
      </c>
      <c r="G106" t="inlineStr">
        <is>
          <t>SÖDERKÖPING</t>
        </is>
      </c>
      <c r="I106" t="n">
        <v>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46294</v>
      </c>
      <c r="F107" t="inlineStr">
        <is>
          <t>ÖSTERGÖTLANDS LÄN</t>
        </is>
      </c>
      <c r="G107" t="inlineStr">
        <is>
          <t>SÖDERKÖPING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46294</v>
      </c>
      <c r="F108" t="inlineStr">
        <is>
          <t>ÖSTERGÖTLANDS LÄN</t>
        </is>
      </c>
      <c r="G108" t="inlineStr">
        <is>
          <t>SÖDERKÖPING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45818</v>
      </c>
      <c r="E109" s="1" t="n">
        <v>46294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46294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46294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46294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46294</v>
      </c>
      <c r="F113" t="inlineStr">
        <is>
          <t>ÖSTERGÖTLANDS LÄN</t>
        </is>
      </c>
      <c r="G113" t="inlineStr">
        <is>
          <t>SÖDERKÖPING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46294</v>
      </c>
      <c r="F114" t="inlineStr">
        <is>
          <t>ÖSTERGÖTLANDS LÄN</t>
        </is>
      </c>
      <c r="G114" t="inlineStr">
        <is>
          <t>SÖDERKÖPING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44754</v>
      </c>
      <c r="E115" s="1" t="n">
        <v>46294</v>
      </c>
      <c r="F115" t="inlineStr">
        <is>
          <t>ÖSTERGÖTLANDS LÄN</t>
        </is>
      </c>
      <c r="G115" t="inlineStr">
        <is>
          <t>SÖDERKÖPING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46294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46294</v>
      </c>
      <c r="F117" t="inlineStr">
        <is>
          <t>ÖSTERGÖTLANDS LÄN</t>
        </is>
      </c>
      <c r="G117" t="inlineStr">
        <is>
          <t>SÖDERKÖPING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46294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46294</v>
      </c>
      <c r="F119" t="inlineStr">
        <is>
          <t>ÖSTERGÖTLANDS LÄN</t>
        </is>
      </c>
      <c r="G119" t="inlineStr">
        <is>
          <t>SÖDERKÖPING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46294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46294</v>
      </c>
      <c r="F121" t="inlineStr">
        <is>
          <t>ÖSTERGÖTLANDS LÄN</t>
        </is>
      </c>
      <c r="G121" t="inlineStr">
        <is>
          <t>SÖDERKÖPING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46294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46294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46294</v>
      </c>
      <c r="F124" t="inlineStr">
        <is>
          <t>ÖSTERGÖTLANDS LÄN</t>
        </is>
      </c>
      <c r="G124" t="inlineStr">
        <is>
          <t>SÖDERKÖPING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46294</v>
      </c>
      <c r="F125" t="inlineStr">
        <is>
          <t>ÖSTERGÖTLANDS LÄN</t>
        </is>
      </c>
      <c r="G125" t="inlineStr">
        <is>
          <t>SÖDERKÖPING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46294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Allmännings- och besparingsskogar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46294</v>
      </c>
      <c r="F127" t="inlineStr">
        <is>
          <t>ÖSTERGÖTLANDS LÄN</t>
        </is>
      </c>
      <c r="G127" t="inlineStr">
        <is>
          <t>SÖDERKÖPING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46294</v>
      </c>
      <c r="F128" t="inlineStr">
        <is>
          <t>ÖSTERGÖTLANDS LÄN</t>
        </is>
      </c>
      <c r="G128" t="inlineStr">
        <is>
          <t>SÖDERKÖPING</t>
        </is>
      </c>
      <c r="H128" t="inlineStr">
        <is>
          <t>Holmen skog AB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46294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46294</v>
      </c>
      <c r="F130" t="inlineStr">
        <is>
          <t>ÖSTERGÖTLANDS LÄN</t>
        </is>
      </c>
      <c r="G130" t="inlineStr">
        <is>
          <t>SÖDERKÖPING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46294</v>
      </c>
      <c r="F131" t="inlineStr">
        <is>
          <t>ÖSTERGÖTLANDS LÄN</t>
        </is>
      </c>
      <c r="G131" t="inlineStr">
        <is>
          <t>SÖDERKÖPING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46294</v>
      </c>
      <c r="F132" t="inlineStr">
        <is>
          <t>ÖSTERGÖTLANDS LÄN</t>
        </is>
      </c>
      <c r="G132" t="inlineStr">
        <is>
          <t>SÖDERKÖPING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46294</v>
      </c>
      <c r="F133" t="inlineStr">
        <is>
          <t>ÖSTERGÖTLANDS LÄN</t>
        </is>
      </c>
      <c r="G133" t="inlineStr">
        <is>
          <t>SÖDERKÖPING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44588</v>
      </c>
      <c r="E134" s="1" t="n">
        <v>46294</v>
      </c>
      <c r="F134" t="inlineStr">
        <is>
          <t>ÖSTERGÖTLANDS LÄN</t>
        </is>
      </c>
      <c r="G134" t="inlineStr">
        <is>
          <t>SÖDERKÖPING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44859-2023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45190</v>
      </c>
      <c r="E135" s="1" t="n">
        <v>46294</v>
      </c>
      <c r="F135" t="inlineStr">
        <is>
          <t>ÖSTERGÖTLANDS LÄN</t>
        </is>
      </c>
      <c r="G135" t="inlineStr">
        <is>
          <t>SÖDERKÖPING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46294</v>
      </c>
      <c r="F136" t="inlineStr">
        <is>
          <t>ÖSTERGÖTLANDS LÄN</t>
        </is>
      </c>
      <c r="G136" t="inlineStr">
        <is>
          <t>SÖDERKÖPING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46294</v>
      </c>
      <c r="F137" t="inlineStr">
        <is>
          <t>ÖSTERGÖTLANDS LÄN</t>
        </is>
      </c>
      <c r="G137" t="inlineStr">
        <is>
          <t>SÖDERKÖPING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45191</v>
      </c>
      <c r="E138" s="1" t="n">
        <v>46294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44813</v>
      </c>
      <c r="E139" s="1" t="n">
        <v>46294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46294</v>
      </c>
      <c r="F140" t="inlineStr">
        <is>
          <t>ÖSTERGÖTLANDS LÄN</t>
        </is>
      </c>
      <c r="G140" t="inlineStr">
        <is>
          <t>SÖDERKÖPING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46294</v>
      </c>
      <c r="F141" t="inlineStr">
        <is>
          <t>ÖSTERGÖTLANDS LÄN</t>
        </is>
      </c>
      <c r="G141" t="inlineStr">
        <is>
          <t>SÖDERKÖPING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46294</v>
      </c>
      <c r="F142" t="inlineStr">
        <is>
          <t>ÖSTERGÖTLANDS LÄN</t>
        </is>
      </c>
      <c r="G142" t="inlineStr">
        <is>
          <t>SÖDERKÖPING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46294</v>
      </c>
      <c r="F143" t="inlineStr">
        <is>
          <t>ÖSTERGÖTLANDS LÄN</t>
        </is>
      </c>
      <c r="G143" t="inlineStr">
        <is>
          <t>SÖDERKÖPING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46294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31628-2022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44775</v>
      </c>
      <c r="E145" s="1" t="n">
        <v>46294</v>
      </c>
      <c r="F145" t="inlineStr">
        <is>
          <t>ÖSTERGÖTLANDS LÄN</t>
        </is>
      </c>
      <c r="G145" t="inlineStr">
        <is>
          <t>SÖDERKÖPING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46294</v>
      </c>
      <c r="F146" t="inlineStr">
        <is>
          <t>ÖSTERGÖTLANDS LÄN</t>
        </is>
      </c>
      <c r="G146" t="inlineStr">
        <is>
          <t>SÖDERKÖPING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46294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46294</v>
      </c>
      <c r="F148" t="inlineStr">
        <is>
          <t>ÖSTERGÖTLANDS LÄN</t>
        </is>
      </c>
      <c r="G148" t="inlineStr">
        <is>
          <t>SÖDERKÖPING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46294</v>
      </c>
      <c r="F149" t="inlineStr">
        <is>
          <t>ÖSTERGÖTLANDS LÄN</t>
        </is>
      </c>
      <c r="G149" t="inlineStr">
        <is>
          <t>SÖDERKÖPING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46294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Allmännings- och besparingsskogar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46294</v>
      </c>
      <c r="F151" t="inlineStr">
        <is>
          <t>ÖSTERGÖTLANDS LÄN</t>
        </is>
      </c>
      <c r="G151" t="inlineStr">
        <is>
          <t>SÖDERKÖPING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46294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Kyrkan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46294</v>
      </c>
      <c r="F153" t="inlineStr">
        <is>
          <t>ÖSTERGÖTLANDS LÄN</t>
        </is>
      </c>
      <c r="G153" t="inlineStr">
        <is>
          <t>SÖDERKÖPING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45365</v>
      </c>
      <c r="E154" s="1" t="n">
        <v>46294</v>
      </c>
      <c r="F154" t="inlineStr">
        <is>
          <t>ÖSTERGÖTLANDS LÄN</t>
        </is>
      </c>
      <c r="G154" t="inlineStr">
        <is>
          <t>SÖDERKÖPING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46294</v>
      </c>
      <c r="F155" t="inlineStr">
        <is>
          <t>ÖSTERGÖTLANDS LÄN</t>
        </is>
      </c>
      <c r="G155" t="inlineStr">
        <is>
          <t>SÖDERKÖPING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46294</v>
      </c>
      <c r="F156" t="inlineStr">
        <is>
          <t>ÖSTERGÖTLANDS LÄN</t>
        </is>
      </c>
      <c r="G156" t="inlineStr">
        <is>
          <t>SÖDERKÖPING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46294</v>
      </c>
      <c r="F157" t="inlineStr">
        <is>
          <t>ÖSTERGÖTLANDS LÄN</t>
        </is>
      </c>
      <c r="G157" t="inlineStr">
        <is>
          <t>SÖDERKÖPING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46294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Kyrkan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46294</v>
      </c>
      <c r="F159" t="inlineStr">
        <is>
          <t>ÖSTERGÖTLANDS LÄN</t>
        </is>
      </c>
      <c r="G159" t="inlineStr">
        <is>
          <t>SÖDERKÖPING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46294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46294</v>
      </c>
      <c r="F161" t="inlineStr">
        <is>
          <t>ÖSTERGÖTLANDS LÄN</t>
        </is>
      </c>
      <c r="G161" t="inlineStr">
        <is>
          <t>SÖDERKÖPING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50241-2022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46294</v>
      </c>
      <c r="F162" t="inlineStr">
        <is>
          <t>ÖSTERGÖTLANDS LÄN</t>
        </is>
      </c>
      <c r="G162" t="inlineStr">
        <is>
          <t>SÖDERKÖPING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46294</v>
      </c>
      <c r="F163" t="inlineStr">
        <is>
          <t>ÖSTERGÖTLANDS LÄN</t>
        </is>
      </c>
      <c r="G163" t="inlineStr">
        <is>
          <t>SÖDERKÖPING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46294</v>
      </c>
      <c r="F164" t="inlineStr">
        <is>
          <t>ÖSTERGÖTLANDS LÄN</t>
        </is>
      </c>
      <c r="G164" t="inlineStr">
        <is>
          <t>SÖDERKÖPING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46294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46294</v>
      </c>
      <c r="F166" t="inlineStr">
        <is>
          <t>ÖSTERGÖTLANDS LÄN</t>
        </is>
      </c>
      <c r="G166" t="inlineStr">
        <is>
          <t>SÖDERKÖPING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46294</v>
      </c>
      <c r="F167" t="inlineStr">
        <is>
          <t>ÖSTERGÖTLANDS LÄN</t>
        </is>
      </c>
      <c r="G167" t="inlineStr">
        <is>
          <t>SÖDERKÖPING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46061</v>
      </c>
      <c r="E168" s="1" t="n">
        <v>46294</v>
      </c>
      <c r="F168" t="inlineStr">
        <is>
          <t>ÖSTERGÖTLANDS LÄN</t>
        </is>
      </c>
      <c r="G168" t="inlineStr">
        <is>
          <t>SÖDERKÖPING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46294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46294</v>
      </c>
      <c r="F170" t="inlineStr">
        <is>
          <t>ÖSTERGÖTLANDS LÄN</t>
        </is>
      </c>
      <c r="G170" t="inlineStr">
        <is>
          <t>SÖDERKÖPING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46294</v>
      </c>
      <c r="F171" t="inlineStr">
        <is>
          <t>ÖSTERGÖTLANDS LÄN</t>
        </is>
      </c>
      <c r="G171" t="inlineStr">
        <is>
          <t>SÖDERKÖPING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46294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46294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46294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46294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46294</v>
      </c>
      <c r="F176" t="inlineStr">
        <is>
          <t>ÖSTERGÖTLANDS LÄN</t>
        </is>
      </c>
      <c r="G176" t="inlineStr">
        <is>
          <t>SÖDERKÖPING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46294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Holmen skog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46294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46294</v>
      </c>
      <c r="F179" t="inlineStr">
        <is>
          <t>ÖSTERGÖTLANDS LÄN</t>
        </is>
      </c>
      <c r="G179" t="inlineStr">
        <is>
          <t>SÖDERKÖPING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46294</v>
      </c>
      <c r="F180" t="inlineStr">
        <is>
          <t>ÖSTERGÖTLANDS LÄN</t>
        </is>
      </c>
      <c r="G180" t="inlineStr">
        <is>
          <t>SÖDERKÖPING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11005-2026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46079</v>
      </c>
      <c r="E181" s="1" t="n">
        <v>46294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Kyrkan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46294</v>
      </c>
      <c r="F182" t="inlineStr">
        <is>
          <t>ÖSTERGÖTLANDS LÄN</t>
        </is>
      </c>
      <c r="G182" t="inlineStr">
        <is>
          <t>SÖDERKÖPING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46084</v>
      </c>
      <c r="E183" s="1" t="n">
        <v>46294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46294</v>
      </c>
      <c r="F184" t="inlineStr">
        <is>
          <t>ÖSTERGÖTLANDS LÄN</t>
        </is>
      </c>
      <c r="G184" t="inlineStr">
        <is>
          <t>SÖDERKÖPING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46294</v>
      </c>
      <c r="F185" t="inlineStr">
        <is>
          <t>ÖSTERGÖTLANDS LÄN</t>
        </is>
      </c>
      <c r="G185" t="inlineStr">
        <is>
          <t>SÖDERKÖPING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46294</v>
      </c>
      <c r="F186" t="inlineStr">
        <is>
          <t>ÖSTERGÖTLANDS LÄN</t>
        </is>
      </c>
      <c r="G186" t="inlineStr">
        <is>
          <t>SÖDERKÖPING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46294</v>
      </c>
      <c r="F187" t="inlineStr">
        <is>
          <t>ÖSTERGÖTLANDS LÄN</t>
        </is>
      </c>
      <c r="G187" t="inlineStr">
        <is>
          <t>SÖDERKÖPING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46294</v>
      </c>
      <c r="F188" t="inlineStr">
        <is>
          <t>ÖSTERGÖTLANDS LÄN</t>
        </is>
      </c>
      <c r="G188" t="inlineStr">
        <is>
          <t>SÖDERKÖPING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46294</v>
      </c>
      <c r="F189" t="inlineStr">
        <is>
          <t>ÖSTERGÖTLANDS LÄN</t>
        </is>
      </c>
      <c r="G189" t="inlineStr">
        <is>
          <t>SÖDERKÖPING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46294</v>
      </c>
      <c r="F190" t="inlineStr">
        <is>
          <t>ÖSTERGÖTLANDS LÄN</t>
        </is>
      </c>
      <c r="G190" t="inlineStr">
        <is>
          <t>SÖDERKÖPING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46294</v>
      </c>
      <c r="F191" t="inlineStr">
        <is>
          <t>ÖSTERGÖTLANDS LÄN</t>
        </is>
      </c>
      <c r="G191" t="inlineStr">
        <is>
          <t>SÖDERKÖPING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46294</v>
      </c>
      <c r="F192" t="inlineStr">
        <is>
          <t>ÖSTERGÖTLANDS LÄN</t>
        </is>
      </c>
      <c r="G192" t="inlineStr">
        <is>
          <t>SÖDERKÖPING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46294</v>
      </c>
      <c r="F193" t="inlineStr">
        <is>
          <t>ÖSTERGÖTLANDS LÄN</t>
        </is>
      </c>
      <c r="G193" t="inlineStr">
        <is>
          <t>SÖDERKÖPING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46294</v>
      </c>
      <c r="F194" t="inlineStr">
        <is>
          <t>ÖSTERGÖTLANDS LÄN</t>
        </is>
      </c>
      <c r="G194" t="inlineStr">
        <is>
          <t>SÖDERKÖPING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46294</v>
      </c>
      <c r="F195" t="inlineStr">
        <is>
          <t>ÖSTERGÖTLANDS LÄN</t>
        </is>
      </c>
      <c r="G195" t="inlineStr">
        <is>
          <t>SÖDERKÖPING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44796</v>
      </c>
      <c r="E196" s="1" t="n">
        <v>46294</v>
      </c>
      <c r="F196" t="inlineStr">
        <is>
          <t>ÖSTERGÖTLANDS LÄN</t>
        </is>
      </c>
      <c r="G196" t="inlineStr">
        <is>
          <t>SÖDERKÖPING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45399</v>
      </c>
      <c r="E197" s="1" t="n">
        <v>46294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45684</v>
      </c>
      <c r="E198" s="1" t="n">
        <v>46294</v>
      </c>
      <c r="F198" t="inlineStr">
        <is>
          <t>ÖSTERGÖTLANDS LÄN</t>
        </is>
      </c>
      <c r="G198" t="inlineStr">
        <is>
          <t>SÖDERKÖPING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46294</v>
      </c>
      <c r="F199" t="inlineStr">
        <is>
          <t>ÖSTERGÖTLANDS LÄN</t>
        </is>
      </c>
      <c r="G199" t="inlineStr">
        <is>
          <t>SÖDERKÖPING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69425-2021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46294</v>
      </c>
      <c r="F200" t="inlineStr">
        <is>
          <t>ÖSTERGÖTLANDS LÄN</t>
        </is>
      </c>
      <c r="G200" t="inlineStr">
        <is>
          <t>SÖDERKÖPING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46294</v>
      </c>
      <c r="F201" t="inlineStr">
        <is>
          <t>ÖSTERGÖTLANDS LÄN</t>
        </is>
      </c>
      <c r="G201" t="inlineStr">
        <is>
          <t>SÖDERKÖPING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46294</v>
      </c>
      <c r="F202" t="inlineStr">
        <is>
          <t>ÖSTERGÖTLANDS LÄN</t>
        </is>
      </c>
      <c r="G202" t="inlineStr">
        <is>
          <t>SÖDERKÖPING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46294</v>
      </c>
      <c r="F203" t="inlineStr">
        <is>
          <t>ÖSTERGÖTLANDS LÄN</t>
        </is>
      </c>
      <c r="G203" t="inlineStr">
        <is>
          <t>SÖDERKÖPING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46294</v>
      </c>
      <c r="F204" t="inlineStr">
        <is>
          <t>ÖSTERGÖTLANDS LÄN</t>
        </is>
      </c>
      <c r="G204" t="inlineStr">
        <is>
          <t>SÖDERKÖPING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46294</v>
      </c>
      <c r="F205" t="inlineStr">
        <is>
          <t>ÖSTERGÖTLANDS LÄN</t>
        </is>
      </c>
      <c r="G205" t="inlineStr">
        <is>
          <t>SÖDERKÖPING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46294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46294</v>
      </c>
      <c r="F207" t="inlineStr">
        <is>
          <t>ÖSTERGÖTLANDS LÄN</t>
        </is>
      </c>
      <c r="G207" t="inlineStr">
        <is>
          <t>SÖDERKÖPING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46294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46294</v>
      </c>
      <c r="F209" t="inlineStr">
        <is>
          <t>ÖSTERGÖTLANDS LÄN</t>
        </is>
      </c>
      <c r="G209" t="inlineStr">
        <is>
          <t>SÖDERKÖPING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66362-2021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46294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19661-2026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46134</v>
      </c>
      <c r="E211" s="1" t="n">
        <v>46294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46294</v>
      </c>
      <c r="F212" t="inlineStr">
        <is>
          <t>ÖSTERGÖTLANDS LÄN</t>
        </is>
      </c>
      <c r="G212" t="inlineStr">
        <is>
          <t>SÖDERKÖPING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45756</v>
      </c>
      <c r="E213" s="1" t="n">
        <v>46294</v>
      </c>
      <c r="F213" t="inlineStr">
        <is>
          <t>ÖSTERGÖTLANDS LÄN</t>
        </is>
      </c>
      <c r="G213" t="inlineStr">
        <is>
          <t>SÖDERKÖPING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45546</v>
      </c>
      <c r="E214" s="1" t="n">
        <v>46294</v>
      </c>
      <c r="F214" t="inlineStr">
        <is>
          <t>ÖSTERGÖTLANDS LÄN</t>
        </is>
      </c>
      <c r="G214" t="inlineStr">
        <is>
          <t>SÖDERKÖPING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46294</v>
      </c>
      <c r="F215" t="inlineStr">
        <is>
          <t>ÖSTERGÖTLANDS LÄN</t>
        </is>
      </c>
      <c r="G215" t="inlineStr">
        <is>
          <t>SÖDERKÖPING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45782</v>
      </c>
      <c r="E216" s="1" t="n">
        <v>46294</v>
      </c>
      <c r="F216" t="inlineStr">
        <is>
          <t>ÖSTERGÖTLANDS LÄN</t>
        </is>
      </c>
      <c r="G216" t="inlineStr">
        <is>
          <t>SÖDERKÖPING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46294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46294</v>
      </c>
      <c r="F218" t="inlineStr">
        <is>
          <t>ÖSTERGÖTLANDS LÄN</t>
        </is>
      </c>
      <c r="G218" t="inlineStr">
        <is>
          <t>SÖDERKÖPING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46294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46294</v>
      </c>
      <c r="F220" t="inlineStr">
        <is>
          <t>ÖSTERGÖTLANDS LÄN</t>
        </is>
      </c>
      <c r="G220" t="inlineStr">
        <is>
          <t>SÖDERKÖPING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46294</v>
      </c>
      <c r="F221" t="inlineStr">
        <is>
          <t>ÖSTERGÖTLANDS LÄN</t>
        </is>
      </c>
      <c r="G221" t="inlineStr">
        <is>
          <t>SÖDERKÖPING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46294</v>
      </c>
      <c r="F222" t="inlineStr">
        <is>
          <t>ÖSTERGÖTLANDS LÄN</t>
        </is>
      </c>
      <c r="G222" t="inlineStr">
        <is>
          <t>SÖDERKÖPING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45601</v>
      </c>
      <c r="E223" s="1" t="n">
        <v>46294</v>
      </c>
      <c r="F223" t="inlineStr">
        <is>
          <t>ÖSTERGÖTLANDS LÄN</t>
        </is>
      </c>
      <c r="G223" t="inlineStr">
        <is>
          <t>SÖDERKÖPING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46294</v>
      </c>
      <c r="F224" t="inlineStr">
        <is>
          <t>ÖSTERGÖTLANDS LÄN</t>
        </is>
      </c>
      <c r="G224" t="inlineStr">
        <is>
          <t>SÖDERKÖPING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46294</v>
      </c>
      <c r="F225" t="inlineStr">
        <is>
          <t>ÖSTERGÖTLANDS LÄN</t>
        </is>
      </c>
      <c r="G225" t="inlineStr">
        <is>
          <t>SÖDERKÖPING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46294</v>
      </c>
      <c r="F226" t="inlineStr">
        <is>
          <t>ÖSTERGÖTLANDS LÄN</t>
        </is>
      </c>
      <c r="G226" t="inlineStr">
        <is>
          <t>SÖDERKÖPING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46294</v>
      </c>
      <c r="F227" t="inlineStr">
        <is>
          <t>ÖSTERGÖTLANDS LÄN</t>
        </is>
      </c>
      <c r="G227" t="inlineStr">
        <is>
          <t>SÖDERKÖPING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46294</v>
      </c>
      <c r="F228" t="inlineStr">
        <is>
          <t>ÖSTERGÖTLANDS LÄN</t>
        </is>
      </c>
      <c r="G228" t="inlineStr">
        <is>
          <t>SÖDERKÖPING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46139</v>
      </c>
      <c r="E229" s="1" t="n">
        <v>46294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46294</v>
      </c>
      <c r="F230" t="inlineStr">
        <is>
          <t>ÖSTERGÖTLANDS LÄN</t>
        </is>
      </c>
      <c r="G230" t="inlineStr">
        <is>
          <t>SÖDERKÖPING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46294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Allmännings- och besparingsskogar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46294</v>
      </c>
      <c r="F232" t="inlineStr">
        <is>
          <t>ÖSTERGÖTLANDS LÄN</t>
        </is>
      </c>
      <c r="G232" t="inlineStr">
        <is>
          <t>SÖDERKÖPING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46294</v>
      </c>
      <c r="F233" t="inlineStr">
        <is>
          <t>ÖSTERGÖTLANDS LÄN</t>
        </is>
      </c>
      <c r="G233" t="inlineStr">
        <is>
          <t>SÖDERKÖPING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46294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46294</v>
      </c>
      <c r="F235" t="inlineStr">
        <is>
          <t>ÖSTERGÖTLANDS LÄN</t>
        </is>
      </c>
      <c r="G235" t="inlineStr">
        <is>
          <t>SÖDERKÖPING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46294</v>
      </c>
      <c r="F236" t="inlineStr">
        <is>
          <t>ÖSTERGÖTLANDS LÄN</t>
        </is>
      </c>
      <c r="G236" t="inlineStr">
        <is>
          <t>SÖDERKÖPING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46294</v>
      </c>
      <c r="F237" t="inlineStr">
        <is>
          <t>ÖSTERGÖTLANDS LÄN</t>
        </is>
      </c>
      <c r="G237" t="inlineStr">
        <is>
          <t>SÖDERKÖPING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46294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44805</v>
      </c>
      <c r="E239" s="1" t="n">
        <v>46294</v>
      </c>
      <c r="F239" t="inlineStr">
        <is>
          <t>ÖSTERGÖTLANDS LÄN</t>
        </is>
      </c>
      <c r="G239" t="inlineStr">
        <is>
          <t>SÖDERKÖPING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46294</v>
      </c>
      <c r="F240" t="inlineStr">
        <is>
          <t>ÖSTERGÖTLANDS LÄN</t>
        </is>
      </c>
      <c r="G240" t="inlineStr">
        <is>
          <t>SÖDERKÖPING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46294</v>
      </c>
      <c r="F241" t="inlineStr">
        <is>
          <t>ÖSTERGÖTLANDS LÄN</t>
        </is>
      </c>
      <c r="G241" t="inlineStr">
        <is>
          <t>SÖDERKÖPING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46294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46294</v>
      </c>
      <c r="F243" t="inlineStr">
        <is>
          <t>ÖSTERGÖTLANDS LÄN</t>
        </is>
      </c>
      <c r="G243" t="inlineStr">
        <is>
          <t>SÖDERKÖPING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46294</v>
      </c>
      <c r="F244" t="inlineStr">
        <is>
          <t>ÖSTERGÖTLANDS LÄN</t>
        </is>
      </c>
      <c r="G244" t="inlineStr">
        <is>
          <t>SÖDERKÖPING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46294</v>
      </c>
      <c r="F245" t="inlineStr">
        <is>
          <t>ÖSTERGÖTLANDS LÄN</t>
        </is>
      </c>
      <c r="G245" t="inlineStr">
        <is>
          <t>SÖDERKÖPING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46294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45190</v>
      </c>
      <c r="E247" s="1" t="n">
        <v>46294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46294</v>
      </c>
      <c r="F248" t="inlineStr">
        <is>
          <t>ÖSTERGÖTLANDS LÄN</t>
        </is>
      </c>
      <c r="G248" t="inlineStr">
        <is>
          <t>SÖDERKÖPING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44911</v>
      </c>
      <c r="E249" s="1" t="n">
        <v>46294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Allmännings- och besparingsskogar</t>
        </is>
      </c>
      <c r="I249" t="n">
        <v>10.8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46294</v>
      </c>
      <c r="F250" t="inlineStr">
        <is>
          <t>ÖSTERGÖTLANDS LÄN</t>
        </is>
      </c>
      <c r="G250" t="inlineStr">
        <is>
          <t>SÖDERKÖPING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45282</v>
      </c>
      <c r="E251" s="1" t="n">
        <v>46294</v>
      </c>
      <c r="F251" t="inlineStr">
        <is>
          <t>ÖSTERGÖTLANDS LÄN</t>
        </is>
      </c>
      <c r="G251" t="inlineStr">
        <is>
          <t>SÖDERKÖPING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66075-2021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44517</v>
      </c>
      <c r="E252" s="1" t="n">
        <v>46294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46294</v>
      </c>
      <c r="F253" t="inlineStr">
        <is>
          <t>ÖSTERGÖTLANDS LÄN</t>
        </is>
      </c>
      <c r="G253" t="inlineStr">
        <is>
          <t>SÖDERKÖPING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46294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Allmännings- och besparingsskogar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46294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Allmännings- och besparingsskogar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46294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50050-2023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45215</v>
      </c>
      <c r="E257" s="1" t="n">
        <v>46294</v>
      </c>
      <c r="F257" t="inlineStr">
        <is>
          <t>ÖSTERGÖTLANDS LÄN</t>
        </is>
      </c>
      <c r="G257" t="inlineStr">
        <is>
          <t>SÖDERKÖPING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46294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46294</v>
      </c>
      <c r="F259" t="inlineStr">
        <is>
          <t>ÖSTERGÖTLANDS LÄN</t>
        </is>
      </c>
      <c r="G259" t="inlineStr">
        <is>
          <t>SÖDERKÖPING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46294</v>
      </c>
      <c r="F260" t="inlineStr">
        <is>
          <t>ÖSTERGÖTLANDS LÄN</t>
        </is>
      </c>
      <c r="G260" t="inlineStr">
        <is>
          <t>SÖDERKÖPING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46294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46294</v>
      </c>
      <c r="F262" t="inlineStr">
        <is>
          <t>ÖSTERGÖTLANDS LÄN</t>
        </is>
      </c>
      <c r="G262" t="inlineStr">
        <is>
          <t>SÖDERKÖPING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46294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46294</v>
      </c>
      <c r="F264" t="inlineStr">
        <is>
          <t>ÖSTERGÖTLANDS LÄN</t>
        </is>
      </c>
      <c r="G264" t="inlineStr">
        <is>
          <t>SÖDERKÖPING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46294</v>
      </c>
      <c r="F265" t="inlineStr">
        <is>
          <t>ÖSTERGÖTLANDS LÄN</t>
        </is>
      </c>
      <c r="G265" t="inlineStr">
        <is>
          <t>SÖDERKÖPING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44711</v>
      </c>
      <c r="E266" s="1" t="n">
        <v>46294</v>
      </c>
      <c r="F266" t="inlineStr">
        <is>
          <t>ÖSTERGÖTLANDS LÄN</t>
        </is>
      </c>
      <c r="G266" t="inlineStr">
        <is>
          <t>SÖDERKÖPING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46294</v>
      </c>
      <c r="F267" t="inlineStr">
        <is>
          <t>ÖSTERGÖTLANDS LÄN</t>
        </is>
      </c>
      <c r="G267" t="inlineStr">
        <is>
          <t>SÖDERKÖPING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46294</v>
      </c>
      <c r="F268" t="inlineStr">
        <is>
          <t>ÖSTERGÖTLANDS LÄN</t>
        </is>
      </c>
      <c r="G268" t="inlineStr">
        <is>
          <t>SÖDERKÖPING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26439-2026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46183</v>
      </c>
      <c r="E269" s="1" t="n">
        <v>46294</v>
      </c>
      <c r="F269" t="inlineStr">
        <is>
          <t>ÖSTERGÖTLANDS LÄN</t>
        </is>
      </c>
      <c r="G269" t="inlineStr">
        <is>
          <t>SÖDERKÖPING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46294</v>
      </c>
      <c r="F270" t="inlineStr">
        <is>
          <t>ÖSTERGÖTLANDS LÄN</t>
        </is>
      </c>
      <c r="G270" t="inlineStr">
        <is>
          <t>SÖDERKÖPING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46294</v>
      </c>
      <c r="F271" t="inlineStr">
        <is>
          <t>ÖSTERGÖTLANDS LÄN</t>
        </is>
      </c>
      <c r="G271" t="inlineStr">
        <is>
          <t>SÖDERKÖPING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46294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44618</v>
      </c>
      <c r="E273" s="1" t="n">
        <v>46294</v>
      </c>
      <c r="F273" t="inlineStr">
        <is>
          <t>ÖSTERGÖTLANDS LÄN</t>
        </is>
      </c>
      <c r="G273" t="inlineStr">
        <is>
          <t>SÖDERKÖPING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46294</v>
      </c>
      <c r="F274" t="inlineStr">
        <is>
          <t>ÖSTERGÖTLANDS LÄN</t>
        </is>
      </c>
      <c r="G274" t="inlineStr">
        <is>
          <t>SÖDERKÖPING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46294</v>
      </c>
      <c r="F275" t="inlineStr">
        <is>
          <t>ÖSTERGÖTLANDS LÄN</t>
        </is>
      </c>
      <c r="G275" t="inlineStr">
        <is>
          <t>SÖDERKÖPING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46294</v>
      </c>
      <c r="F276" t="inlineStr">
        <is>
          <t>ÖSTERGÖTLANDS LÄN</t>
        </is>
      </c>
      <c r="G276" t="inlineStr">
        <is>
          <t>SÖDERKÖPING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46294</v>
      </c>
      <c r="F277" t="inlineStr">
        <is>
          <t>ÖSTERGÖTLANDS LÄN</t>
        </is>
      </c>
      <c r="G277" t="inlineStr">
        <is>
          <t>SÖDERKÖPING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46294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46294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Kommuner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53889-2021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46294</v>
      </c>
      <c r="F280" t="inlineStr">
        <is>
          <t>ÖSTERGÖTLANDS LÄN</t>
        </is>
      </c>
      <c r="G280" t="inlineStr">
        <is>
          <t>SÖDERKÖPING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46294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46294</v>
      </c>
      <c r="F282" t="inlineStr">
        <is>
          <t>ÖSTERGÖTLANDS LÄN</t>
        </is>
      </c>
      <c r="G282" t="inlineStr">
        <is>
          <t>SÖDERKÖPING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46294</v>
      </c>
      <c r="F283" t="inlineStr">
        <is>
          <t>ÖSTERGÖTLANDS LÄN</t>
        </is>
      </c>
      <c r="G283" t="inlineStr">
        <is>
          <t>SÖDERKÖPING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46294</v>
      </c>
      <c r="F284" t="inlineStr">
        <is>
          <t>ÖSTERGÖTLANDS LÄN</t>
        </is>
      </c>
      <c r="G284" t="inlineStr">
        <is>
          <t>SÖDERKÖPING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46294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46294</v>
      </c>
      <c r="F286" t="inlineStr">
        <is>
          <t>ÖSTERGÖTLANDS LÄN</t>
        </is>
      </c>
      <c r="G286" t="inlineStr">
        <is>
          <t>SÖDERKÖPING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45295</v>
      </c>
      <c r="E287" s="1" t="n">
        <v>46294</v>
      </c>
      <c r="F287" t="inlineStr">
        <is>
          <t>ÖSTERGÖTLANDS LÄN</t>
        </is>
      </c>
      <c r="G287" t="inlineStr">
        <is>
          <t>SÖDERKÖPING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46294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46294</v>
      </c>
      <c r="F289" t="inlineStr">
        <is>
          <t>ÖSTERGÖTLANDS LÄN</t>
        </is>
      </c>
      <c r="G289" t="inlineStr">
        <is>
          <t>SÖDERKÖPING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46294</v>
      </c>
      <c r="F290" t="inlineStr">
        <is>
          <t>ÖSTERGÖTLANDS LÄN</t>
        </is>
      </c>
      <c r="G290" t="inlineStr">
        <is>
          <t>SÖDERKÖPING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46294</v>
      </c>
      <c r="F291" t="inlineStr">
        <is>
          <t>ÖSTERGÖTLANDS LÄN</t>
        </is>
      </c>
      <c r="G291" t="inlineStr">
        <is>
          <t>SÖDERKÖPING</t>
        </is>
      </c>
      <c r="I291" t="n">
        <v>18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45215</v>
      </c>
      <c r="E292" s="1" t="n">
        <v>46294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Kyrkan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45295</v>
      </c>
      <c r="E293" s="1" t="n">
        <v>46294</v>
      </c>
      <c r="F293" t="inlineStr">
        <is>
          <t>ÖSTERGÖTLANDS LÄN</t>
        </is>
      </c>
      <c r="G293" t="inlineStr">
        <is>
          <t>SÖDERKÖPING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45489</v>
      </c>
      <c r="E294" s="1" t="n">
        <v>46294</v>
      </c>
      <c r="F294" t="inlineStr">
        <is>
          <t>ÖSTERGÖTLANDS LÄN</t>
        </is>
      </c>
      <c r="G294" t="inlineStr">
        <is>
          <t>SÖDERKÖPING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56213-2022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44890</v>
      </c>
      <c r="E295" s="1" t="n">
        <v>46294</v>
      </c>
      <c r="F295" t="inlineStr">
        <is>
          <t>ÖSTERGÖTLANDS LÄN</t>
        </is>
      </c>
      <c r="G295" t="inlineStr">
        <is>
          <t>SÖDERKÖPING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45239</v>
      </c>
      <c r="E296" s="1" t="n">
        <v>46294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45055</v>
      </c>
      <c r="E297" s="1" t="n">
        <v>46294</v>
      </c>
      <c r="F297" t="inlineStr">
        <is>
          <t>ÖSTERGÖTLANDS LÄN</t>
        </is>
      </c>
      <c r="G297" t="inlineStr">
        <is>
          <t>SÖDERKÖPING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45055</v>
      </c>
      <c r="E298" s="1" t="n">
        <v>46294</v>
      </c>
      <c r="F298" t="inlineStr">
        <is>
          <t>ÖSTERGÖTLANDS LÄN</t>
        </is>
      </c>
      <c r="G298" t="inlineStr">
        <is>
          <t>SÖDERKÖPING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46294</v>
      </c>
      <c r="F299" t="inlineStr">
        <is>
          <t>ÖSTERGÖTLANDS LÄN</t>
        </is>
      </c>
      <c r="G299" t="inlineStr">
        <is>
          <t>SÖDERKÖPING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45692</v>
      </c>
      <c r="E300" s="1" t="n">
        <v>46294</v>
      </c>
      <c r="F300" t="inlineStr">
        <is>
          <t>ÖSTERGÖTLANDS LÄN</t>
        </is>
      </c>
      <c r="G300" t="inlineStr">
        <is>
          <t>SÖDERKÖPING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46294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46294</v>
      </c>
      <c r="F302" t="inlineStr">
        <is>
          <t>ÖSTERGÖTLANDS LÄN</t>
        </is>
      </c>
      <c r="G302" t="inlineStr">
        <is>
          <t>SÖDERKÖPING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46294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46294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45181</v>
      </c>
      <c r="E305" s="1" t="n">
        <v>46294</v>
      </c>
      <c r="F305" t="inlineStr">
        <is>
          <t>ÖSTERGÖTLANDS LÄN</t>
        </is>
      </c>
      <c r="G305" t="inlineStr">
        <is>
          <t>SÖDERKÖPING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45586</v>
      </c>
      <c r="E306" s="1" t="n">
        <v>46294</v>
      </c>
      <c r="F306" t="inlineStr">
        <is>
          <t>ÖSTERGÖTLANDS LÄN</t>
        </is>
      </c>
      <c r="G306" t="inlineStr">
        <is>
          <t>SÖDERKÖPING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46294</v>
      </c>
      <c r="F307" t="inlineStr">
        <is>
          <t>ÖSTERGÖTLANDS LÄN</t>
        </is>
      </c>
      <c r="G307" t="inlineStr">
        <is>
          <t>SÖDERKÖPING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46219</v>
      </c>
      <c r="E308" s="1" t="n">
        <v>46294</v>
      </c>
      <c r="F308" t="inlineStr">
        <is>
          <t>ÖSTERGÖTLANDS LÄN</t>
        </is>
      </c>
      <c r="G308" t="inlineStr">
        <is>
          <t>SÖDERKÖPING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46294</v>
      </c>
      <c r="F309" t="inlineStr">
        <is>
          <t>ÖSTERGÖTLANDS LÄN</t>
        </is>
      </c>
      <c r="G309" t="inlineStr">
        <is>
          <t>SÖDERKÖPING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46294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46294</v>
      </c>
      <c r="F311" t="inlineStr">
        <is>
          <t>ÖSTERGÖTLANDS LÄN</t>
        </is>
      </c>
      <c r="G311" t="inlineStr">
        <is>
          <t>SÖDERKÖPING</t>
        </is>
      </c>
      <c r="I311" t="n">
        <v>15.3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46294</v>
      </c>
      <c r="F312" t="inlineStr">
        <is>
          <t>ÖSTERGÖTLANDS LÄN</t>
        </is>
      </c>
      <c r="G312" t="inlineStr">
        <is>
          <t>SÖDERKÖPING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46294</v>
      </c>
      <c r="F313" t="inlineStr">
        <is>
          <t>ÖSTERGÖTLANDS LÄN</t>
        </is>
      </c>
      <c r="G313" t="inlineStr">
        <is>
          <t>SÖDERKÖPING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44593</v>
      </c>
      <c r="E314" s="1" t="n">
        <v>46294</v>
      </c>
      <c r="F314" t="inlineStr">
        <is>
          <t>ÖSTERGÖTLANDS LÄN</t>
        </is>
      </c>
      <c r="G314" t="inlineStr">
        <is>
          <t>SÖDERKÖPING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46294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46294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46294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46227</v>
      </c>
      <c r="E318" s="1" t="n">
        <v>46294</v>
      </c>
      <c r="F318" t="inlineStr">
        <is>
          <t>ÖSTERGÖTLANDS LÄN</t>
        </is>
      </c>
      <c r="G318" t="inlineStr">
        <is>
          <t>SÖDERKÖPING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46227</v>
      </c>
      <c r="E319" s="1" t="n">
        <v>46294</v>
      </c>
      <c r="F319" t="inlineStr">
        <is>
          <t>ÖSTERGÖTLANDS LÄN</t>
        </is>
      </c>
      <c r="G319" t="inlineStr">
        <is>
          <t>SÖDERKÖPING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46294</v>
      </c>
      <c r="F320" t="inlineStr">
        <is>
          <t>ÖSTERGÖTLANDS LÄN</t>
        </is>
      </c>
      <c r="G320" t="inlineStr">
        <is>
          <t>SÖDERKÖPING</t>
        </is>
      </c>
      <c r="I320" t="n">
        <v>8.5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45174</v>
      </c>
      <c r="E321" s="1" t="n">
        <v>46294</v>
      </c>
      <c r="F321" t="inlineStr">
        <is>
          <t>ÖSTERGÖTLANDS LÄN</t>
        </is>
      </c>
      <c r="G321" t="inlineStr">
        <is>
          <t>SÖDERKÖPING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45297</v>
      </c>
      <c r="E322" s="1" t="n">
        <v>46294</v>
      </c>
      <c r="F322" t="inlineStr">
        <is>
          <t>ÖSTERGÖTLANDS LÄN</t>
        </is>
      </c>
      <c r="G322" t="inlineStr">
        <is>
          <t>SÖDERKÖPING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45379</v>
      </c>
      <c r="E323" s="1" t="n">
        <v>46294</v>
      </c>
      <c r="F323" t="inlineStr">
        <is>
          <t>ÖSTERGÖTLANDS LÄN</t>
        </is>
      </c>
      <c r="G323" t="inlineStr">
        <is>
          <t>SÖDERKÖPING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45097</v>
      </c>
      <c r="E324" s="1" t="n">
        <v>46294</v>
      </c>
      <c r="F324" t="inlineStr">
        <is>
          <t>ÖSTERGÖTLANDS LÄN</t>
        </is>
      </c>
      <c r="G324" t="inlineStr">
        <is>
          <t>SÖDERKÖPING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44888</v>
      </c>
      <c r="E325" s="1" t="n">
        <v>46294</v>
      </c>
      <c r="F325" t="inlineStr">
        <is>
          <t>ÖSTERGÖTLANDS LÄN</t>
        </is>
      </c>
      <c r="G325" t="inlineStr">
        <is>
          <t>SÖDERKÖPING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46294</v>
      </c>
      <c r="F326" t="inlineStr">
        <is>
          <t>ÖSTERGÖTLANDS LÄN</t>
        </is>
      </c>
      <c r="G326" t="inlineStr">
        <is>
          <t>SÖDERKÖPING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46294</v>
      </c>
      <c r="F327" t="inlineStr">
        <is>
          <t>ÖSTERGÖTLANDS LÄN</t>
        </is>
      </c>
      <c r="G327" t="inlineStr">
        <is>
          <t>SÖDERKÖPING</t>
        </is>
      </c>
      <c r="H327" t="inlineStr">
        <is>
          <t>Allmännings- och besparingsskogar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45687</v>
      </c>
      <c r="E328" s="1" t="n">
        <v>46294</v>
      </c>
      <c r="F328" t="inlineStr">
        <is>
          <t>ÖSTERGÖTLANDS LÄN</t>
        </is>
      </c>
      <c r="G328" t="inlineStr">
        <is>
          <t>SÖDERKÖPING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46294</v>
      </c>
      <c r="F329" t="inlineStr">
        <is>
          <t>ÖSTERGÖTLANDS LÄN</t>
        </is>
      </c>
      <c r="G329" t="inlineStr">
        <is>
          <t>SÖDERKÖPING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45055</v>
      </c>
      <c r="E330" s="1" t="n">
        <v>46294</v>
      </c>
      <c r="F330" t="inlineStr">
        <is>
          <t>ÖSTERGÖTLANDS LÄN</t>
        </is>
      </c>
      <c r="G330" t="inlineStr">
        <is>
          <t>SÖDERKÖPING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45297</v>
      </c>
      <c r="E331" s="1" t="n">
        <v>46294</v>
      </c>
      <c r="F331" t="inlineStr">
        <is>
          <t>ÖSTERGÖTLANDS LÄN</t>
        </is>
      </c>
      <c r="G331" t="inlineStr">
        <is>
          <t>SÖDERKÖPING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46294</v>
      </c>
      <c r="F332" t="inlineStr">
        <is>
          <t>ÖSTERGÖTLANDS LÄN</t>
        </is>
      </c>
      <c r="G332" t="inlineStr">
        <is>
          <t>SÖDERKÖPING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46294</v>
      </c>
      <c r="F333" t="inlineStr">
        <is>
          <t>ÖSTERGÖTLANDS LÄN</t>
        </is>
      </c>
      <c r="G333" t="inlineStr">
        <is>
          <t>SÖDERKÖPING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46294</v>
      </c>
      <c r="F334" t="inlineStr">
        <is>
          <t>ÖSTERGÖTLANDS LÄN</t>
        </is>
      </c>
      <c r="G334" t="inlineStr">
        <is>
          <t>SÖDERKÖPING</t>
        </is>
      </c>
      <c r="H334" t="inlineStr">
        <is>
          <t>Holmen skog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45700</v>
      </c>
      <c r="E335" s="1" t="n">
        <v>46294</v>
      </c>
      <c r="F335" t="inlineStr">
        <is>
          <t>ÖSTERGÖTLANDS LÄN</t>
        </is>
      </c>
      <c r="G335" t="inlineStr">
        <is>
          <t>SÖDERKÖPING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46294</v>
      </c>
      <c r="F336" t="inlineStr">
        <is>
          <t>ÖSTERGÖTLANDS LÄN</t>
        </is>
      </c>
      <c r="G336" t="inlineStr">
        <is>
          <t>SÖDERKÖPING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46241</v>
      </c>
      <c r="E337" s="1" t="n">
        <v>46294</v>
      </c>
      <c r="F337" t="inlineStr">
        <is>
          <t>ÖSTERGÖTLANDS LÄN</t>
        </is>
      </c>
      <c r="G337" t="inlineStr">
        <is>
          <t>SÖDERKÖPING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46241</v>
      </c>
      <c r="E338" s="1" t="n">
        <v>46294</v>
      </c>
      <c r="F338" t="inlineStr">
        <is>
          <t>ÖSTERGÖTLANDS LÄN</t>
        </is>
      </c>
      <c r="G338" t="inlineStr">
        <is>
          <t>SÖDERKÖPING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46248</v>
      </c>
      <c r="E339" s="1" t="n">
        <v>46294</v>
      </c>
      <c r="F339" t="inlineStr">
        <is>
          <t>ÖSTERGÖTLANDS LÄN</t>
        </is>
      </c>
      <c r="G339" t="inlineStr">
        <is>
          <t>SÖDERKÖPING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4766-2024</t>
        </is>
      </c>
      <c r="B340" t="inlineStr">
        <is>
          <t>samrådsanmälan</t>
        </is>
      </c>
      <c r="C340" t="inlineStr">
        <is>
          <t>Åtgärd i nyckelbiotop</t>
        </is>
      </c>
      <c r="D340" s="1" t="n">
        <v>45610</v>
      </c>
      <c r="E340" s="1" t="n">
        <v>46294</v>
      </c>
      <c r="F340" t="inlineStr">
        <is>
          <t>ÖSTERGÖTLANDS LÄN</t>
        </is>
      </c>
      <c r="G340" t="inlineStr">
        <is>
          <t>SÖDERKÖPING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3958-2024</t>
        </is>
      </c>
      <c r="B341" t="inlineStr">
        <is>
          <t>samrådsanmälan</t>
        </is>
      </c>
      <c r="C341" t="inlineStr">
        <is>
          <t>Åtgärd i nyckelbiotop</t>
        </is>
      </c>
      <c r="D341" s="1" t="n">
        <v>45567</v>
      </c>
      <c r="E341" s="1" t="n">
        <v>46294</v>
      </c>
      <c r="F341" t="inlineStr">
        <is>
          <t>ÖSTERGÖTLANDS LÄN</t>
        </is>
      </c>
      <c r="G341" t="inlineStr">
        <is>
          <t>SÖDERKÖPING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4052-2023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45246</v>
      </c>
      <c r="E342" s="1" t="n">
        <v>46294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1568-2024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45426</v>
      </c>
      <c r="E343" s="1" t="n">
        <v>46294</v>
      </c>
      <c r="F343" t="inlineStr">
        <is>
          <t>ÖSTERGÖTLANDS LÄN</t>
        </is>
      </c>
      <c r="G343" t="inlineStr">
        <is>
          <t>SÖDERKÖPING</t>
        </is>
      </c>
      <c r="I343" t="n">
        <v>29.3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3312-2023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45195</v>
      </c>
      <c r="E344" s="1" t="n">
        <v>46294</v>
      </c>
      <c r="F344" t="inlineStr">
        <is>
          <t>ÖSTERGÖTLANDS LÄN</t>
        </is>
      </c>
      <c r="G344" t="inlineStr">
        <is>
          <t>SÖDERKÖPING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1540-2026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46168</v>
      </c>
      <c r="E345" s="1" t="n">
        <v>46294</v>
      </c>
      <c r="F345" t="inlineStr">
        <is>
          <t>ÖSTERGÖTLANDS LÄN</t>
        </is>
      </c>
      <c r="G345" t="inlineStr">
        <is>
          <t>SÖDERKÖPING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2026-09-29T02:00:38Z</dcterms:created>
  <dcterms:modified xmlns:dcterms="http://purl.org/dc/terms/" xmlns:xsi="http://www.w3.org/2001/XMLSchema-instance" xsi:type="dcterms:W3CDTF">2026-09-29T02:00:38Z</dcterms:modified>
</cp:coreProperties>
</file>