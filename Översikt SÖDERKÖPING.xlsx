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46306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46306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46306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46306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46306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46306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46306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46306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46306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46306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46306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Sångsvan</t>
        </is>
      </c>
      <c r="W18">
        <f>HYPERLINK("https://klasma.github.io/Logging_0582/artfynd/A 49366-2023 artfynd.xlsx", "A 49366-2023")</f>
        <v/>
      </c>
      <c r="X18">
        <f>HYPERLINK("https://klasma.github.io/Logging_0582/kartor/A 49366-2023 karta.png", "A 49366-2023")</f>
        <v/>
      </c>
      <c r="Y18">
        <f>HYPERLINK("https://klasma.github.io/Logging_0582/kartor_geotiff/A 49366-2023 georefererad karta.tif", "A 49366-2023")</f>
        <v/>
      </c>
      <c r="AA18">
        <f>HYPERLINK("https://klasma.github.io/Logging_0582/klagomål/A 49366-2023 FSC-klagomål.docx", "A 49366-2023")</f>
        <v/>
      </c>
      <c r="AB18">
        <f>HYPERLINK("https://klasma.github.io/Logging_0582/klagomålsmail/A 49366-2023 FSC-klagomål mail.docx", "A 49366-2023")</f>
        <v/>
      </c>
      <c r="AC18">
        <f>HYPERLINK("https://klasma.github.io/Logging_0582/tillsyn/A 49366-2023 tillsynsbegäran.docx", "A 49366-2023")</f>
        <v/>
      </c>
      <c r="AD18">
        <f>HYPERLINK("https://klasma.github.io/Logging_0582/tillsynsmail/A 49366-2023 tillsynsbegäran mail.docx", "A 49366-2023")</f>
        <v/>
      </c>
      <c r="AE18">
        <f>HYPERLINK("https://klasma.github.io/Logging_0582/fåglar/A 49366-2023 prioriterade fågelarter.docx", "A 49366-2023")</f>
        <v/>
      </c>
    </row>
    <row r="19" ht="15" customHeight="1">
      <c r="A19" t="inlineStr">
        <is>
          <t>A 7879-2023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44973</v>
      </c>
      <c r="E19" s="1" t="n">
        <v>46306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HYPERLINK("https://klasma.github.io/Logging_0582/artfynd/A 7879-2023 artfynd.xlsx", "A 7879-2023")</f>
        <v/>
      </c>
      <c r="X19">
        <f>HYPERLINK("https://klasma.github.io/Logging_0582/kartor/A 7879-2023 karta.png", "A 7879-2023")</f>
        <v/>
      </c>
      <c r="Y19">
        <f>HYPERLINK("https://klasma.github.io/Logging_0582/kartor_geotiff/A 7879-2023 georefererad karta.tif", "A 7879-2023")</f>
        <v/>
      </c>
      <c r="AA19">
        <f>HYPERLINK("https://klasma.github.io/Logging_0582/klagomål/A 7879-2023 FSC-klagomål.docx", "A 7879-2023")</f>
        <v/>
      </c>
      <c r="AB19">
        <f>HYPERLINK("https://klasma.github.io/Logging_0582/klagomålsmail/A 7879-2023 FSC-klagomål mail.docx", "A 7879-2023")</f>
        <v/>
      </c>
      <c r="AC19">
        <f>HYPERLINK("https://klasma.github.io/Logging_0582/tillsyn/A 7879-2023 tillsynsbegäran.docx", "A 7879-2023")</f>
        <v/>
      </c>
      <c r="AD19">
        <f>HYPERLINK("https://klasma.github.io/Logging_0582/tillsynsmail/A 7879-2023 tillsynsbegäran mail.docx", "A 7879-2023")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46306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46306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46306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46306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46306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46306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46306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46306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46306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46306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46306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46306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46306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46306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46306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46306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46306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46306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46306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46306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46306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46306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46306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46306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46306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46306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46306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46306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46306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46306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46306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66356-2021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46306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46306</v>
      </c>
      <c r="F53" t="inlineStr">
        <is>
          <t>ÖSTERGÖTLANDS LÄN</t>
        </is>
      </c>
      <c r="G53" t="inlineStr">
        <is>
          <t>SÖDERKÖPING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46306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44721</v>
      </c>
      <c r="E55" s="1" t="n">
        <v>46306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44722</v>
      </c>
      <c r="E56" s="1" t="n">
        <v>46306</v>
      </c>
      <c r="F56" t="inlineStr">
        <is>
          <t>ÖSTERGÖTLANDS LÄN</t>
        </is>
      </c>
      <c r="G56" t="inlineStr">
        <is>
          <t>SÖDERKÖPING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46306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46306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45245</v>
      </c>
      <c r="E59" s="1" t="n">
        <v>46306</v>
      </c>
      <c r="F59" t="inlineStr">
        <is>
          <t>ÖSTERGÖTLANDS LÄN</t>
        </is>
      </c>
      <c r="G59" t="inlineStr">
        <is>
          <t>SÖDERKÖPING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45119</v>
      </c>
      <c r="E60" s="1" t="n">
        <v>46306</v>
      </c>
      <c r="F60" t="inlineStr">
        <is>
          <t>ÖSTERGÖTLANDS LÄN</t>
        </is>
      </c>
      <c r="G60" t="inlineStr">
        <is>
          <t>SÖDERKÖPING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45119</v>
      </c>
      <c r="E61" s="1" t="n">
        <v>46306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45504</v>
      </c>
      <c r="E62" s="1" t="n">
        <v>46306</v>
      </c>
      <c r="F62" t="inlineStr">
        <is>
          <t>ÖSTERGÖTLANDS LÄN</t>
        </is>
      </c>
      <c r="G62" t="inlineStr">
        <is>
          <t>SÖDERKÖPING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46306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46306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46306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46306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46306</v>
      </c>
      <c r="F67" t="inlineStr">
        <is>
          <t>ÖSTERGÖTLANDS LÄN</t>
        </is>
      </c>
      <c r="G67" t="inlineStr">
        <is>
          <t>SÖDERKÖPING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16775-2025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46306</v>
      </c>
      <c r="F68" t="inlineStr">
        <is>
          <t>ÖSTERGÖTLANDS LÄN</t>
        </is>
      </c>
      <c r="G68" t="inlineStr">
        <is>
          <t>SÖDERKÖPING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46306</v>
      </c>
      <c r="F69" t="inlineStr">
        <is>
          <t>ÖSTERGÖTLANDS LÄN</t>
        </is>
      </c>
      <c r="G69" t="inlineStr">
        <is>
          <t>SÖDERKÖPING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46306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46306</v>
      </c>
      <c r="F71" t="inlineStr">
        <is>
          <t>ÖSTERGÖTLANDS LÄN</t>
        </is>
      </c>
      <c r="G71" t="inlineStr">
        <is>
          <t>SÖDERKÖPING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46306</v>
      </c>
      <c r="F72" t="inlineStr">
        <is>
          <t>ÖSTERGÖTLANDS LÄN</t>
        </is>
      </c>
      <c r="G72" t="inlineStr">
        <is>
          <t>SÖDERKÖPING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46306</v>
      </c>
      <c r="F73" t="inlineStr">
        <is>
          <t>ÖSTERGÖTLANDS LÄN</t>
        </is>
      </c>
      <c r="G73" t="inlineStr">
        <is>
          <t>SÖDERKÖPING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42352-2023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45180</v>
      </c>
      <c r="E74" s="1" t="n">
        <v>46306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45297</v>
      </c>
      <c r="E75" s="1" t="n">
        <v>46306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66075-2021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46306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Kyrkan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46306</v>
      </c>
      <c r="F77" t="inlineStr">
        <is>
          <t>ÖSTERGÖTLANDS LÄN</t>
        </is>
      </c>
      <c r="G77" t="inlineStr">
        <is>
          <t>SÖDERKÖPING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46306</v>
      </c>
      <c r="F78" t="inlineStr">
        <is>
          <t>ÖSTERGÖTLANDS LÄN</t>
        </is>
      </c>
      <c r="G78" t="inlineStr">
        <is>
          <t>SÖDERKÖPING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46306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46306</v>
      </c>
      <c r="F80" t="inlineStr">
        <is>
          <t>ÖSTERGÖTLANDS LÄN</t>
        </is>
      </c>
      <c r="G80" t="inlineStr">
        <is>
          <t>SÖDERKÖPING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46306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46306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46306</v>
      </c>
      <c r="F83" t="inlineStr">
        <is>
          <t>ÖSTERGÖTLANDS LÄN</t>
        </is>
      </c>
      <c r="G83" t="inlineStr">
        <is>
          <t>SÖDERKÖPING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46306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45055</v>
      </c>
      <c r="E85" s="1" t="n">
        <v>46306</v>
      </c>
      <c r="F85" t="inlineStr">
        <is>
          <t>ÖSTERGÖTLANDS LÄN</t>
        </is>
      </c>
      <c r="G85" t="inlineStr">
        <is>
          <t>SÖDERKÖPING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46306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46306</v>
      </c>
      <c r="F87" t="inlineStr">
        <is>
          <t>ÖSTERGÖTLANDS LÄN</t>
        </is>
      </c>
      <c r="G87" t="inlineStr">
        <is>
          <t>SÖDERKÖPING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46306</v>
      </c>
      <c r="F88" t="inlineStr">
        <is>
          <t>ÖSTERGÖTLANDS LÄN</t>
        </is>
      </c>
      <c r="G88" t="inlineStr">
        <is>
          <t>SÖDERKÖPING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45119</v>
      </c>
      <c r="E89" s="1" t="n">
        <v>46306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46306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46306</v>
      </c>
      <c r="F91" t="inlineStr">
        <is>
          <t>ÖSTERGÖTLANDS LÄN</t>
        </is>
      </c>
      <c r="G91" t="inlineStr">
        <is>
          <t>SÖDERKÖPING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46306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46306</v>
      </c>
      <c r="F93" t="inlineStr">
        <is>
          <t>ÖSTERGÖTLANDS LÄN</t>
        </is>
      </c>
      <c r="G93" t="inlineStr">
        <is>
          <t>SÖDERKÖPING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46306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46306</v>
      </c>
      <c r="F95" t="inlineStr">
        <is>
          <t>ÖSTERGÖTLANDS LÄN</t>
        </is>
      </c>
      <c r="G95" t="inlineStr">
        <is>
          <t>SÖDERKÖPING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45489</v>
      </c>
      <c r="E96" s="1" t="n">
        <v>46306</v>
      </c>
      <c r="F96" t="inlineStr">
        <is>
          <t>ÖSTERGÖTLANDS LÄN</t>
        </is>
      </c>
      <c r="G96" t="inlineStr">
        <is>
          <t>SÖDERKÖPING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46306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46306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46306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63392-2021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46306</v>
      </c>
      <c r="F100" t="inlineStr">
        <is>
          <t>ÖSTERGÖTLANDS LÄN</t>
        </is>
      </c>
      <c r="G100" t="inlineStr">
        <is>
          <t>SÖDERKÖPING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46306</v>
      </c>
      <c r="F101" t="inlineStr">
        <is>
          <t>ÖSTERGÖTLANDS LÄN</t>
        </is>
      </c>
      <c r="G101" t="inlineStr">
        <is>
          <t>SÖDERKÖPING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46306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46306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46306</v>
      </c>
      <c r="F104" t="inlineStr">
        <is>
          <t>ÖSTERGÖTLANDS LÄN</t>
        </is>
      </c>
      <c r="G104" t="inlineStr">
        <is>
          <t>SÖDERKÖPING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46306</v>
      </c>
      <c r="F105" t="inlineStr">
        <is>
          <t>ÖSTERGÖTLANDS LÄN</t>
        </is>
      </c>
      <c r="G105" t="inlineStr">
        <is>
          <t>SÖDERKÖPING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46306</v>
      </c>
      <c r="F106" t="inlineStr">
        <is>
          <t>ÖSTERGÖTLANDS LÄN</t>
        </is>
      </c>
      <c r="G106" t="inlineStr">
        <is>
          <t>SÖDERKÖPING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46306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46306</v>
      </c>
      <c r="F108" t="inlineStr">
        <is>
          <t>ÖSTERGÖTLANDS LÄN</t>
        </is>
      </c>
      <c r="G108" t="inlineStr">
        <is>
          <t>SÖDERKÖPING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46306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46306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46306</v>
      </c>
      <c r="F111" t="inlineStr">
        <is>
          <t>ÖSTERGÖTLANDS LÄN</t>
        </is>
      </c>
      <c r="G111" t="inlineStr">
        <is>
          <t>SÖDERKÖPING</t>
        </is>
      </c>
      <c r="I111" t="n">
        <v>26.6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46306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Allmännings- och besparingsskogar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46306</v>
      </c>
      <c r="F113" t="inlineStr">
        <is>
          <t>ÖSTERGÖTLANDS LÄN</t>
        </is>
      </c>
      <c r="G113" t="inlineStr">
        <is>
          <t>SÖDERKÖPING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45687</v>
      </c>
      <c r="E114" s="1" t="n">
        <v>46306</v>
      </c>
      <c r="F114" t="inlineStr">
        <is>
          <t>ÖSTERGÖTLANDS LÄN</t>
        </is>
      </c>
      <c r="G114" t="inlineStr">
        <is>
          <t>SÖDERKÖPING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46306</v>
      </c>
      <c r="F115" t="inlineStr">
        <is>
          <t>ÖSTERGÖTLANDS LÄN</t>
        </is>
      </c>
      <c r="G115" t="inlineStr">
        <is>
          <t>SÖDERKÖPING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46306</v>
      </c>
      <c r="F116" t="inlineStr">
        <is>
          <t>ÖSTERGÖTLANDS LÄN</t>
        </is>
      </c>
      <c r="G116" t="inlineStr">
        <is>
          <t>SÖDERKÖPING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46306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45181</v>
      </c>
      <c r="E118" s="1" t="n">
        <v>46306</v>
      </c>
      <c r="F118" t="inlineStr">
        <is>
          <t>ÖSTERGÖTLANDS LÄN</t>
        </is>
      </c>
      <c r="G118" t="inlineStr">
        <is>
          <t>SÖDERKÖPING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46306</v>
      </c>
      <c r="F119" t="inlineStr">
        <is>
          <t>ÖSTERGÖTLANDS LÄN</t>
        </is>
      </c>
      <c r="G119" t="inlineStr">
        <is>
          <t>SÖDERKÖPING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46306</v>
      </c>
      <c r="F120" t="inlineStr">
        <is>
          <t>ÖSTERGÖTLANDS LÄN</t>
        </is>
      </c>
      <c r="G120" t="inlineStr">
        <is>
          <t>SÖDERKÖPING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46306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46306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46306</v>
      </c>
      <c r="F123" t="inlineStr">
        <is>
          <t>ÖSTERGÖTLANDS LÄN</t>
        </is>
      </c>
      <c r="G123" t="inlineStr">
        <is>
          <t>SÖDERKÖPING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45399</v>
      </c>
      <c r="E124" s="1" t="n">
        <v>46306</v>
      </c>
      <c r="F124" t="inlineStr">
        <is>
          <t>ÖSTERGÖTLANDS LÄN</t>
        </is>
      </c>
      <c r="G124" t="inlineStr">
        <is>
          <t>SÖDERKÖPING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45504</v>
      </c>
      <c r="E125" s="1" t="n">
        <v>46306</v>
      </c>
      <c r="F125" t="inlineStr">
        <is>
          <t>ÖSTERGÖTLANDS LÄN</t>
        </is>
      </c>
      <c r="G125" t="inlineStr">
        <is>
          <t>SÖDERKÖPING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46306</v>
      </c>
      <c r="F126" t="inlineStr">
        <is>
          <t>ÖSTERGÖTLANDS LÄN</t>
        </is>
      </c>
      <c r="G126" t="inlineStr">
        <is>
          <t>SÖDERKÖPING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46306</v>
      </c>
      <c r="F127" t="inlineStr">
        <is>
          <t>ÖSTERGÖTLANDS LÄN</t>
        </is>
      </c>
      <c r="G127" t="inlineStr">
        <is>
          <t>SÖDERKÖPING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46306</v>
      </c>
      <c r="F128" t="inlineStr">
        <is>
          <t>ÖSTERGÖTLANDS LÄN</t>
        </is>
      </c>
      <c r="G128" t="inlineStr">
        <is>
          <t>SÖDERKÖPING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46306</v>
      </c>
      <c r="F129" t="inlineStr">
        <is>
          <t>ÖSTERGÖTLANDS LÄN</t>
        </is>
      </c>
      <c r="G129" t="inlineStr">
        <is>
          <t>SÖDERKÖPING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46306</v>
      </c>
      <c r="F130" t="inlineStr">
        <is>
          <t>ÖSTERGÖTLANDS LÄN</t>
        </is>
      </c>
      <c r="G130" t="inlineStr">
        <is>
          <t>SÖDERKÖPING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46306</v>
      </c>
      <c r="F131" t="inlineStr">
        <is>
          <t>ÖSTERGÖTLANDS LÄN</t>
        </is>
      </c>
      <c r="G131" t="inlineStr">
        <is>
          <t>SÖDERKÖPING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46306</v>
      </c>
      <c r="F132" t="inlineStr">
        <is>
          <t>ÖSTERGÖTLANDS LÄN</t>
        </is>
      </c>
      <c r="G132" t="inlineStr">
        <is>
          <t>SÖDERKÖPING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46306</v>
      </c>
      <c r="F133" t="inlineStr">
        <is>
          <t>ÖSTERGÖTLANDS LÄN</t>
        </is>
      </c>
      <c r="G133" t="inlineStr">
        <is>
          <t>SÖDERKÖPING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46306</v>
      </c>
      <c r="F134" t="inlineStr">
        <is>
          <t>ÖSTERGÖTLANDS LÄN</t>
        </is>
      </c>
      <c r="G134" t="inlineStr">
        <is>
          <t>SÖDERKÖPING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46306</v>
      </c>
      <c r="F135" t="inlineStr">
        <is>
          <t>ÖSTERGÖTLANDS LÄN</t>
        </is>
      </c>
      <c r="G135" t="inlineStr">
        <is>
          <t>SÖDERKÖPING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46306</v>
      </c>
      <c r="F136" t="inlineStr">
        <is>
          <t>ÖSTERGÖTLANDS LÄN</t>
        </is>
      </c>
      <c r="G136" t="inlineStr">
        <is>
          <t>SÖDERKÖPING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46306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46306</v>
      </c>
      <c r="F138" t="inlineStr">
        <is>
          <t>ÖSTERGÖTLANDS LÄN</t>
        </is>
      </c>
      <c r="G138" t="inlineStr">
        <is>
          <t>SÖDERKÖPING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46306</v>
      </c>
      <c r="F139" t="inlineStr">
        <is>
          <t>ÖSTERGÖTLANDS LÄN</t>
        </is>
      </c>
      <c r="G139" t="inlineStr">
        <is>
          <t>SÖDERKÖPING</t>
        </is>
      </c>
      <c r="I139" t="n">
        <v>13.8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46306</v>
      </c>
      <c r="F140" t="inlineStr">
        <is>
          <t>ÖSTERGÖTLANDS LÄN</t>
        </is>
      </c>
      <c r="G140" t="inlineStr">
        <is>
          <t>SÖDERKÖPING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46306</v>
      </c>
      <c r="F141" t="inlineStr">
        <is>
          <t>ÖSTERGÖTLANDS LÄN</t>
        </is>
      </c>
      <c r="G141" t="inlineStr">
        <is>
          <t>SÖDERKÖPING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45504</v>
      </c>
      <c r="E142" s="1" t="n">
        <v>46306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46306</v>
      </c>
      <c r="F143" t="inlineStr">
        <is>
          <t>ÖSTERGÖTLANDS LÄN</t>
        </is>
      </c>
      <c r="G143" t="inlineStr">
        <is>
          <t>SÖDERKÖPING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46306</v>
      </c>
      <c r="F144" t="inlineStr">
        <is>
          <t>ÖSTERGÖTLANDS LÄN</t>
        </is>
      </c>
      <c r="G144" t="inlineStr">
        <is>
          <t>SÖDERKÖPING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46306</v>
      </c>
      <c r="F145" t="inlineStr">
        <is>
          <t>ÖSTERGÖTLANDS LÄN</t>
        </is>
      </c>
      <c r="G145" t="inlineStr">
        <is>
          <t>SÖDERKÖPING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46306</v>
      </c>
      <c r="F146" t="inlineStr">
        <is>
          <t>ÖSTERGÖTLANDS LÄN</t>
        </is>
      </c>
      <c r="G146" t="inlineStr">
        <is>
          <t>SÖDERKÖPING</t>
        </is>
      </c>
      <c r="I146" t="n">
        <v>12.2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46306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46306</v>
      </c>
      <c r="F148" t="inlineStr">
        <is>
          <t>ÖSTERGÖTLANDS LÄN</t>
        </is>
      </c>
      <c r="G148" t="inlineStr">
        <is>
          <t>SÖDERKÖPING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46306</v>
      </c>
      <c r="F149" t="inlineStr">
        <is>
          <t>ÖSTERGÖTLANDS LÄN</t>
        </is>
      </c>
      <c r="G149" t="inlineStr">
        <is>
          <t>SÖDERKÖPING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44862</v>
      </c>
      <c r="E150" s="1" t="n">
        <v>46306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46306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46306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46306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46306</v>
      </c>
      <c r="F154" t="inlineStr">
        <is>
          <t>ÖSTERGÖTLANDS LÄN</t>
        </is>
      </c>
      <c r="G154" t="inlineStr">
        <is>
          <t>SÖDERKÖPING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46306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46306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46306</v>
      </c>
      <c r="F157" t="inlineStr">
        <is>
          <t>ÖSTERGÖTLANDS LÄN</t>
        </is>
      </c>
      <c r="G157" t="inlineStr">
        <is>
          <t>SÖDERKÖPING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46306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46306</v>
      </c>
      <c r="F159" t="inlineStr">
        <is>
          <t>ÖSTERGÖTLANDS LÄN</t>
        </is>
      </c>
      <c r="G159" t="inlineStr">
        <is>
          <t>SÖDERKÖPING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46306</v>
      </c>
      <c r="F160" t="inlineStr">
        <is>
          <t>ÖSTERGÖTLANDS LÄN</t>
        </is>
      </c>
      <c r="G160" t="inlineStr">
        <is>
          <t>SÖDERKÖPING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46306</v>
      </c>
      <c r="F161" t="inlineStr">
        <is>
          <t>ÖSTERGÖTLANDS LÄN</t>
        </is>
      </c>
      <c r="G161" t="inlineStr">
        <is>
          <t>SÖDERKÖPING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46306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46306</v>
      </c>
      <c r="F163" t="inlineStr">
        <is>
          <t>ÖSTERGÖTLANDS LÄN</t>
        </is>
      </c>
      <c r="G163" t="inlineStr">
        <is>
          <t>SÖDERKÖPING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45344</v>
      </c>
      <c r="E164" s="1" t="n">
        <v>46306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46306</v>
      </c>
      <c r="F165" t="inlineStr">
        <is>
          <t>ÖSTERGÖTLANDS LÄN</t>
        </is>
      </c>
      <c r="G165" t="inlineStr">
        <is>
          <t>SÖDERKÖPING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46306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46306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46306</v>
      </c>
      <c r="F168" t="inlineStr">
        <is>
          <t>ÖSTERGÖTLANDS LÄN</t>
        </is>
      </c>
      <c r="G168" t="inlineStr">
        <is>
          <t>SÖDERKÖPING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46306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46306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46306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46306</v>
      </c>
      <c r="F172" t="inlineStr">
        <is>
          <t>ÖSTERGÖTLANDS LÄN</t>
        </is>
      </c>
      <c r="G172" t="inlineStr">
        <is>
          <t>SÖDERKÖPING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44736</v>
      </c>
      <c r="E173" s="1" t="n">
        <v>46306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46306</v>
      </c>
      <c r="F174" t="inlineStr">
        <is>
          <t>ÖSTERGÖTLANDS LÄN</t>
        </is>
      </c>
      <c r="G174" t="inlineStr">
        <is>
          <t>SÖDERKÖPING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46306</v>
      </c>
      <c r="F175" t="inlineStr">
        <is>
          <t>ÖSTERGÖTLANDS LÄN</t>
        </is>
      </c>
      <c r="G175" t="inlineStr">
        <is>
          <t>SÖDERKÖPING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45293</v>
      </c>
      <c r="E176" s="1" t="n">
        <v>46306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46306</v>
      </c>
      <c r="F177" t="inlineStr">
        <is>
          <t>ÖSTERGÖTLANDS LÄN</t>
        </is>
      </c>
      <c r="G177" t="inlineStr">
        <is>
          <t>SÖDERKÖPING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46306</v>
      </c>
      <c r="F178" t="inlineStr">
        <is>
          <t>ÖSTERGÖTLANDS LÄN</t>
        </is>
      </c>
      <c r="G178" t="inlineStr">
        <is>
          <t>SÖDERKÖPING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46306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46306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46306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46306</v>
      </c>
      <c r="F182" t="inlineStr">
        <is>
          <t>ÖSTERGÖTLANDS LÄN</t>
        </is>
      </c>
      <c r="G182" t="inlineStr">
        <is>
          <t>SÖDERKÖPING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46306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46306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46306</v>
      </c>
      <c r="F185" t="inlineStr">
        <is>
          <t>ÖSTERGÖTLANDS LÄN</t>
        </is>
      </c>
      <c r="G185" t="inlineStr">
        <is>
          <t>SÖDERKÖPING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46306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46306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46306</v>
      </c>
      <c r="F188" t="inlineStr">
        <is>
          <t>ÖSTERGÖTLANDS LÄN</t>
        </is>
      </c>
      <c r="G188" t="inlineStr">
        <is>
          <t>SÖDERKÖPING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44618</v>
      </c>
      <c r="E189" s="1" t="n">
        <v>46306</v>
      </c>
      <c r="F189" t="inlineStr">
        <is>
          <t>ÖSTERGÖTLANDS LÄN</t>
        </is>
      </c>
      <c r="G189" t="inlineStr">
        <is>
          <t>SÖDERKÖPING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46306</v>
      </c>
      <c r="F190" t="inlineStr">
        <is>
          <t>ÖSTERGÖTLANDS LÄN</t>
        </is>
      </c>
      <c r="G190" t="inlineStr">
        <is>
          <t>SÖDERKÖPING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46306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46306</v>
      </c>
      <c r="F192" t="inlineStr">
        <is>
          <t>ÖSTERGÖTLANDS LÄN</t>
        </is>
      </c>
      <c r="G192" t="inlineStr">
        <is>
          <t>SÖDERKÖPING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46306</v>
      </c>
      <c r="F193" t="inlineStr">
        <is>
          <t>ÖSTERGÖTLANDS LÄN</t>
        </is>
      </c>
      <c r="G193" t="inlineStr">
        <is>
          <t>SÖDERKÖPING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46306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46306</v>
      </c>
      <c r="F195" t="inlineStr">
        <is>
          <t>ÖSTERGÖTLANDS LÄN</t>
        </is>
      </c>
      <c r="G195" t="inlineStr">
        <is>
          <t>SÖDERKÖPING</t>
        </is>
      </c>
      <c r="I195" t="n">
        <v>15.3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46306</v>
      </c>
      <c r="F196" t="inlineStr">
        <is>
          <t>ÖSTERGÖTLANDS LÄN</t>
        </is>
      </c>
      <c r="G196" t="inlineStr">
        <is>
          <t>SÖDERKÖPING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46306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46306</v>
      </c>
      <c r="F198" t="inlineStr">
        <is>
          <t>ÖSTERGÖTLANDS LÄN</t>
        </is>
      </c>
      <c r="G198" t="inlineStr">
        <is>
          <t>SÖDERKÖPING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46306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46306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46306</v>
      </c>
      <c r="F201" t="inlineStr">
        <is>
          <t>ÖSTERGÖTLANDS LÄN</t>
        </is>
      </c>
      <c r="G201" t="inlineStr">
        <is>
          <t>SÖDERKÖPING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46306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46306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45663</v>
      </c>
      <c r="E204" s="1" t="n">
        <v>46306</v>
      </c>
      <c r="F204" t="inlineStr">
        <is>
          <t>ÖSTERGÖTLANDS LÄN</t>
        </is>
      </c>
      <c r="G204" t="inlineStr">
        <is>
          <t>SÖDERKÖPING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46306</v>
      </c>
      <c r="F205" t="inlineStr">
        <is>
          <t>ÖSTERGÖTLANDS LÄN</t>
        </is>
      </c>
      <c r="G205" t="inlineStr">
        <is>
          <t>SÖDERKÖPING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46306</v>
      </c>
      <c r="F206" t="inlineStr">
        <is>
          <t>ÖSTERGÖTLANDS LÄN</t>
        </is>
      </c>
      <c r="G206" t="inlineStr">
        <is>
          <t>SÖDERKÖPING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46306</v>
      </c>
      <c r="F207" t="inlineStr">
        <is>
          <t>ÖSTERGÖTLANDS LÄN</t>
        </is>
      </c>
      <c r="G207" t="inlineStr">
        <is>
          <t>SÖDERKÖPING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46306</v>
      </c>
      <c r="F208" t="inlineStr">
        <is>
          <t>ÖSTERGÖTLANDS LÄN</t>
        </is>
      </c>
      <c r="G208" t="inlineStr">
        <is>
          <t>SÖDERKÖPING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46306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46306</v>
      </c>
      <c r="F210" t="inlineStr">
        <is>
          <t>ÖSTERGÖTLANDS LÄN</t>
        </is>
      </c>
      <c r="G210" t="inlineStr">
        <is>
          <t>SÖDERKÖPING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46306</v>
      </c>
      <c r="F211" t="inlineStr">
        <is>
          <t>ÖSTERGÖTLANDS LÄN</t>
        </is>
      </c>
      <c r="G211" t="inlineStr">
        <is>
          <t>SÖDERKÖPING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46306</v>
      </c>
      <c r="F212" t="inlineStr">
        <is>
          <t>ÖSTERGÖTLANDS LÄN</t>
        </is>
      </c>
      <c r="G212" t="inlineStr">
        <is>
          <t>SÖDERKÖPING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46306</v>
      </c>
      <c r="F213" t="inlineStr">
        <is>
          <t>ÖSTERGÖTLANDS LÄN</t>
        </is>
      </c>
      <c r="G213" t="inlineStr">
        <is>
          <t>SÖDERKÖPING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46306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46306</v>
      </c>
      <c r="F215" t="inlineStr">
        <is>
          <t>ÖSTERGÖTLANDS LÄN</t>
        </is>
      </c>
      <c r="G215" t="inlineStr">
        <is>
          <t>SÖDERKÖPING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45297</v>
      </c>
      <c r="E216" s="1" t="n">
        <v>46306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46306</v>
      </c>
      <c r="F217" t="inlineStr">
        <is>
          <t>ÖSTERGÖTLANDS LÄN</t>
        </is>
      </c>
      <c r="G217" t="inlineStr">
        <is>
          <t>SÖDERKÖPING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46306</v>
      </c>
      <c r="F218" t="inlineStr">
        <is>
          <t>ÖSTERGÖTLANDS LÄN</t>
        </is>
      </c>
      <c r="G218" t="inlineStr">
        <is>
          <t>SÖDERKÖPING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46306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46306</v>
      </c>
      <c r="F220" t="inlineStr">
        <is>
          <t>ÖSTERGÖTLANDS LÄN</t>
        </is>
      </c>
      <c r="G220" t="inlineStr">
        <is>
          <t>SÖDERKÖPING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46306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46306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46306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46306</v>
      </c>
      <c r="F224" t="inlineStr">
        <is>
          <t>ÖSTERGÖTLANDS LÄN</t>
        </is>
      </c>
      <c r="G224" t="inlineStr">
        <is>
          <t>SÖDERKÖPING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46306</v>
      </c>
      <c r="F225" t="inlineStr">
        <is>
          <t>ÖSTERGÖTLANDS LÄN</t>
        </is>
      </c>
      <c r="G225" t="inlineStr">
        <is>
          <t>SÖDERKÖPING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46306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46306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20221-2023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45055</v>
      </c>
      <c r="E228" s="1" t="n">
        <v>46306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46306</v>
      </c>
      <c r="F229" t="inlineStr">
        <is>
          <t>ÖSTERGÖTLANDS LÄN</t>
        </is>
      </c>
      <c r="G229" t="inlineStr">
        <is>
          <t>SÖDERKÖPING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46306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46306</v>
      </c>
      <c r="F231" t="inlineStr">
        <is>
          <t>ÖSTERGÖTLANDS LÄN</t>
        </is>
      </c>
      <c r="G231" t="inlineStr">
        <is>
          <t>SÖDERKÖPING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46306</v>
      </c>
      <c r="F232" t="inlineStr">
        <is>
          <t>ÖSTERGÖTLANDS LÄN</t>
        </is>
      </c>
      <c r="G232" t="inlineStr">
        <is>
          <t>SÖDERKÖPING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46306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46306</v>
      </c>
      <c r="F234" t="inlineStr">
        <is>
          <t>ÖSTERGÖTLANDS LÄN</t>
        </is>
      </c>
      <c r="G234" t="inlineStr">
        <is>
          <t>SÖDERKÖPING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46306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46306</v>
      </c>
      <c r="F236" t="inlineStr">
        <is>
          <t>ÖSTERGÖTLANDS LÄN</t>
        </is>
      </c>
      <c r="G236" t="inlineStr">
        <is>
          <t>SÖDERKÖPING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46306</v>
      </c>
      <c r="F237" t="inlineStr">
        <is>
          <t>ÖSTERGÖTLANDS LÄN</t>
        </is>
      </c>
      <c r="G237" t="inlineStr">
        <is>
          <t>SÖDERKÖPING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46306</v>
      </c>
      <c r="F238" t="inlineStr">
        <is>
          <t>ÖSTERGÖTLANDS LÄN</t>
        </is>
      </c>
      <c r="G238" t="inlineStr">
        <is>
          <t>SÖDERKÖPING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46306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46306</v>
      </c>
      <c r="F240" t="inlineStr">
        <is>
          <t>ÖSTERGÖTLANDS LÄN</t>
        </is>
      </c>
      <c r="G240" t="inlineStr">
        <is>
          <t>SÖDERKÖPING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46306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69425-2021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46306</v>
      </c>
      <c r="F242" t="inlineStr">
        <is>
          <t>ÖSTERGÖTLANDS LÄN</t>
        </is>
      </c>
      <c r="G242" t="inlineStr">
        <is>
          <t>SÖDERKÖPING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46306</v>
      </c>
      <c r="F243" t="inlineStr">
        <is>
          <t>ÖSTERGÖTLANDS LÄN</t>
        </is>
      </c>
      <c r="G243" t="inlineStr">
        <is>
          <t>SÖDERKÖPING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46306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46306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46306</v>
      </c>
      <c r="F246" t="inlineStr">
        <is>
          <t>ÖSTERGÖTLANDS LÄN</t>
        </is>
      </c>
      <c r="G246" t="inlineStr">
        <is>
          <t>SÖDERKÖPING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46306</v>
      </c>
      <c r="F247" t="inlineStr">
        <is>
          <t>ÖSTERGÖTLANDS LÄN</t>
        </is>
      </c>
      <c r="G247" t="inlineStr">
        <is>
          <t>SÖDERKÖPING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46306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46306</v>
      </c>
      <c r="F249" t="inlineStr">
        <is>
          <t>ÖSTERGÖTLANDS LÄN</t>
        </is>
      </c>
      <c r="G249" t="inlineStr">
        <is>
          <t>SÖDERKÖPING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46306</v>
      </c>
      <c r="F250" t="inlineStr">
        <is>
          <t>ÖSTERGÖTLANDS LÄN</t>
        </is>
      </c>
      <c r="G250" t="inlineStr">
        <is>
          <t>SÖDERKÖPING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46306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66362-2021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46306</v>
      </c>
      <c r="F252" t="inlineStr">
        <is>
          <t>ÖSTERGÖTLANDS LÄN</t>
        </is>
      </c>
      <c r="G252" t="inlineStr">
        <is>
          <t>SÖDERKÖPING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46306</v>
      </c>
      <c r="F253" t="inlineStr">
        <is>
          <t>ÖSTERGÖTLANDS LÄN</t>
        </is>
      </c>
      <c r="G253" t="inlineStr">
        <is>
          <t>SÖDERKÖPING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46306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46306</v>
      </c>
      <c r="F255" t="inlineStr">
        <is>
          <t>ÖSTERGÖTLANDS LÄN</t>
        </is>
      </c>
      <c r="G255" t="inlineStr">
        <is>
          <t>SÖDERKÖPING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46306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46306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46306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46306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46306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45756</v>
      </c>
      <c r="E261" s="1" t="n">
        <v>46306</v>
      </c>
      <c r="F261" t="inlineStr">
        <is>
          <t>ÖSTERGÖTLANDS LÄN</t>
        </is>
      </c>
      <c r="G261" t="inlineStr">
        <is>
          <t>SÖDERKÖPING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46306</v>
      </c>
      <c r="F262" t="inlineStr">
        <is>
          <t>ÖSTERGÖTLANDS LÄN</t>
        </is>
      </c>
      <c r="G262" t="inlineStr">
        <is>
          <t>SÖDERKÖPING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46306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46306</v>
      </c>
      <c r="F264" t="inlineStr">
        <is>
          <t>ÖSTERGÖTLANDS LÄN</t>
        </is>
      </c>
      <c r="G264" t="inlineStr">
        <is>
          <t>SÖDERKÖPING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46306</v>
      </c>
      <c r="F265" t="inlineStr">
        <is>
          <t>ÖSTERGÖTLANDS LÄN</t>
        </is>
      </c>
      <c r="G265" t="inlineStr">
        <is>
          <t>SÖDERKÖPING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46306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Allmännings- och besparingsskogar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45782</v>
      </c>
      <c r="E267" s="1" t="n">
        <v>46306</v>
      </c>
      <c r="F267" t="inlineStr">
        <is>
          <t>ÖSTERGÖTLANDS LÄN</t>
        </is>
      </c>
      <c r="G267" t="inlineStr">
        <is>
          <t>SÖDERKÖPING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46306</v>
      </c>
      <c r="F268" t="inlineStr">
        <is>
          <t>ÖSTERGÖTLANDS LÄN</t>
        </is>
      </c>
      <c r="G268" t="inlineStr">
        <is>
          <t>SÖDERKÖPING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46306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46306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45090</v>
      </c>
      <c r="E271" s="1" t="n">
        <v>46306</v>
      </c>
      <c r="F271" t="inlineStr">
        <is>
          <t>ÖSTERGÖTLANDS LÄN</t>
        </is>
      </c>
      <c r="G271" t="inlineStr">
        <is>
          <t>SÖDERKÖPING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46306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46306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Kyrkan</t>
        </is>
      </c>
      <c r="I273" t="n">
        <v>11.7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46306</v>
      </c>
      <c r="F274" t="inlineStr">
        <is>
          <t>ÖSTERGÖTLANDS LÄN</t>
        </is>
      </c>
      <c r="G274" t="inlineStr">
        <is>
          <t>SÖDERKÖPING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46306</v>
      </c>
      <c r="F275" t="inlineStr">
        <is>
          <t>ÖSTERGÖTLANDS LÄN</t>
        </is>
      </c>
      <c r="G275" t="inlineStr">
        <is>
          <t>SÖDERKÖPING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46306</v>
      </c>
      <c r="F276" t="inlineStr">
        <is>
          <t>ÖSTERGÖTLANDS LÄN</t>
        </is>
      </c>
      <c r="G276" t="inlineStr">
        <is>
          <t>SÖDERKÖPING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46306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46306</v>
      </c>
      <c r="F278" t="inlineStr">
        <is>
          <t>ÖSTERGÖTLANDS LÄN</t>
        </is>
      </c>
      <c r="G278" t="inlineStr">
        <is>
          <t>SÖDERKÖPING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46306</v>
      </c>
      <c r="F279" t="inlineStr">
        <is>
          <t>ÖSTERGÖTLANDS LÄN</t>
        </is>
      </c>
      <c r="G279" t="inlineStr">
        <is>
          <t>SÖDERKÖPING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46306</v>
      </c>
      <c r="F280" t="inlineStr">
        <is>
          <t>ÖSTERGÖTLANDS LÄN</t>
        </is>
      </c>
      <c r="G280" t="inlineStr">
        <is>
          <t>SÖDERKÖPING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46306</v>
      </c>
      <c r="F281" t="inlineStr">
        <is>
          <t>ÖSTERGÖTLANDS LÄN</t>
        </is>
      </c>
      <c r="G281" t="inlineStr">
        <is>
          <t>SÖDERKÖPING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46306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46306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46306</v>
      </c>
      <c r="F284" t="inlineStr">
        <is>
          <t>ÖSTERGÖTLANDS LÄN</t>
        </is>
      </c>
      <c r="G284" t="inlineStr">
        <is>
          <t>SÖDERKÖPING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46306</v>
      </c>
      <c r="F285" t="inlineStr">
        <is>
          <t>ÖSTERGÖTLANDS LÄN</t>
        </is>
      </c>
      <c r="G285" t="inlineStr">
        <is>
          <t>SÖDERKÖPING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46306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46061</v>
      </c>
      <c r="E287" s="1" t="n">
        <v>46306</v>
      </c>
      <c r="F287" t="inlineStr">
        <is>
          <t>ÖSTERGÖTLANDS LÄN</t>
        </is>
      </c>
      <c r="G287" t="inlineStr">
        <is>
          <t>SÖDERKÖPING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46306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46306</v>
      </c>
      <c r="F289" t="inlineStr">
        <is>
          <t>ÖSTERGÖTLANDS LÄN</t>
        </is>
      </c>
      <c r="G289" t="inlineStr">
        <is>
          <t>SÖDERKÖPING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46306</v>
      </c>
      <c r="F290" t="inlineStr">
        <is>
          <t>ÖSTERGÖTLANDS LÄN</t>
        </is>
      </c>
      <c r="G290" t="inlineStr">
        <is>
          <t>SÖDERKÖPING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46306</v>
      </c>
      <c r="F291" t="inlineStr">
        <is>
          <t>ÖSTERGÖTLANDS LÄN</t>
        </is>
      </c>
      <c r="G291" t="inlineStr">
        <is>
          <t>SÖDERKÖPING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46306</v>
      </c>
      <c r="F292" t="inlineStr">
        <is>
          <t>ÖSTERGÖTLANDS LÄN</t>
        </is>
      </c>
      <c r="G292" t="inlineStr">
        <is>
          <t>SÖDERKÖPING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11005-2026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46079</v>
      </c>
      <c r="E293" s="1" t="n">
        <v>46306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46306</v>
      </c>
      <c r="F294" t="inlineStr">
        <is>
          <t>ÖSTERGÖTLANDS LÄN</t>
        </is>
      </c>
      <c r="G294" t="inlineStr">
        <is>
          <t>SÖDERKÖPING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46306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23120-2026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46306</v>
      </c>
      <c r="F296" t="inlineStr">
        <is>
          <t>ÖSTERGÖTLANDS LÄN</t>
        </is>
      </c>
      <c r="G296" t="inlineStr">
        <is>
          <t>SÖDERKÖPING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46306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46306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46171</v>
      </c>
      <c r="E299" s="1" t="n">
        <v>46306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46306</v>
      </c>
      <c r="F300" t="inlineStr">
        <is>
          <t>ÖSTERGÖTLANDS LÄN</t>
        </is>
      </c>
      <c r="G300" t="inlineStr">
        <is>
          <t>SÖDERKÖPING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46306</v>
      </c>
      <c r="F301" t="inlineStr">
        <is>
          <t>ÖSTERGÖTLANDS LÄN</t>
        </is>
      </c>
      <c r="G301" t="inlineStr">
        <is>
          <t>SÖDERKÖPING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46306</v>
      </c>
      <c r="F302" t="inlineStr">
        <is>
          <t>ÖSTERGÖTLANDS LÄN</t>
        </is>
      </c>
      <c r="G302" t="inlineStr">
        <is>
          <t>SÖDERKÖPING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46306</v>
      </c>
      <c r="F303" t="inlineStr">
        <is>
          <t>ÖSTERGÖTLANDS LÄN</t>
        </is>
      </c>
      <c r="G303" t="inlineStr">
        <is>
          <t>SÖDERKÖPING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46306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46306</v>
      </c>
      <c r="F305" t="inlineStr">
        <is>
          <t>ÖSTERGÖTLANDS LÄN</t>
        </is>
      </c>
      <c r="G305" t="inlineStr">
        <is>
          <t>SÖDERKÖPING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46306</v>
      </c>
      <c r="F306" t="inlineStr">
        <is>
          <t>ÖSTERGÖTLANDS LÄN</t>
        </is>
      </c>
      <c r="G306" t="inlineStr">
        <is>
          <t>SÖDERKÖPING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46306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26439-2026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46183</v>
      </c>
      <c r="E308" s="1" t="n">
        <v>46306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46306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46306</v>
      </c>
      <c r="F310" t="inlineStr">
        <is>
          <t>ÖSTERGÖTLANDS LÄN</t>
        </is>
      </c>
      <c r="G310" t="inlineStr">
        <is>
          <t>SÖDERKÖPING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46306</v>
      </c>
      <c r="F311" t="inlineStr">
        <is>
          <t>ÖSTERGÖTLANDS LÄN</t>
        </is>
      </c>
      <c r="G311" t="inlineStr">
        <is>
          <t>SÖDERKÖPING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46306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46306</v>
      </c>
      <c r="F313" t="inlineStr">
        <is>
          <t>ÖSTERGÖTLANDS LÄN</t>
        </is>
      </c>
      <c r="G313" t="inlineStr">
        <is>
          <t>SÖDERKÖPING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46306</v>
      </c>
      <c r="F314" t="inlineStr">
        <is>
          <t>ÖSTERGÖTLANDS LÄN</t>
        </is>
      </c>
      <c r="G314" t="inlineStr">
        <is>
          <t>SÖDERKÖPING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46227</v>
      </c>
      <c r="E315" s="1" t="n">
        <v>46306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46306</v>
      </c>
      <c r="F316" t="inlineStr">
        <is>
          <t>ÖSTERGÖTLANDS LÄN</t>
        </is>
      </c>
      <c r="G316" t="inlineStr">
        <is>
          <t>SÖDERKÖPING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46227</v>
      </c>
      <c r="E317" s="1" t="n">
        <v>46306</v>
      </c>
      <c r="F317" t="inlineStr">
        <is>
          <t>ÖSTERGÖTLANDS LÄN</t>
        </is>
      </c>
      <c r="G317" t="inlineStr">
        <is>
          <t>SÖDERKÖPING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46241</v>
      </c>
      <c r="E318" s="1" t="n">
        <v>46306</v>
      </c>
      <c r="F318" t="inlineStr">
        <is>
          <t>ÖSTERGÖTLANDS LÄN</t>
        </is>
      </c>
      <c r="G318" t="inlineStr">
        <is>
          <t>SÖDERKÖPING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46241</v>
      </c>
      <c r="E319" s="1" t="n">
        <v>46306</v>
      </c>
      <c r="F319" t="inlineStr">
        <is>
          <t>ÖSTERGÖTLANDS LÄN</t>
        </is>
      </c>
      <c r="G319" t="inlineStr">
        <is>
          <t>SÖDERKÖPING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46306</v>
      </c>
      <c r="F320" t="inlineStr">
        <is>
          <t>ÖSTERGÖTLANDS LÄN</t>
        </is>
      </c>
      <c r="G320" t="inlineStr">
        <is>
          <t>SÖDERKÖPING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46306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46258</v>
      </c>
      <c r="E322" s="1" t="n">
        <v>46306</v>
      </c>
      <c r="F322" t="inlineStr">
        <is>
          <t>ÖSTERGÖTLANDS LÄN</t>
        </is>
      </c>
      <c r="G322" t="inlineStr">
        <is>
          <t>SÖDERKÖPING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46306</v>
      </c>
      <c r="F323" t="inlineStr">
        <is>
          <t>ÖSTERGÖTLANDS LÄN</t>
        </is>
      </c>
      <c r="G323" t="inlineStr">
        <is>
          <t>SÖDERKÖPING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46306</v>
      </c>
      <c r="F324" t="inlineStr">
        <is>
          <t>ÖSTERGÖTLANDS LÄN</t>
        </is>
      </c>
      <c r="G324" t="inlineStr">
        <is>
          <t>SÖDERKÖPING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46306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46306</v>
      </c>
      <c r="F326" t="inlineStr">
        <is>
          <t>ÖSTERGÖTLANDS LÄN</t>
        </is>
      </c>
      <c r="G326" t="inlineStr">
        <is>
          <t>SÖDERKÖPING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46306</v>
      </c>
      <c r="F327" t="inlineStr">
        <is>
          <t>ÖSTERGÖTLANDS LÄN</t>
        </is>
      </c>
      <c r="G327" t="inlineStr">
        <is>
          <t>SÖDERKÖPING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4766-2024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45610</v>
      </c>
      <c r="E328" s="1" t="n">
        <v>46306</v>
      </c>
      <c r="F328" t="inlineStr">
        <is>
          <t>ÖSTERGÖTLANDS LÄN</t>
        </is>
      </c>
      <c r="G328" t="inlineStr">
        <is>
          <t>SÖDERKÖPING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3958-2024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45567</v>
      </c>
      <c r="E329" s="1" t="n">
        <v>46306</v>
      </c>
      <c r="F329" t="inlineStr">
        <is>
          <t>ÖSTERGÖTLANDS LÄN</t>
        </is>
      </c>
      <c r="G329" t="inlineStr">
        <is>
          <t>SÖDERKÖPING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4052-2023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45246</v>
      </c>
      <c r="E330" s="1" t="n">
        <v>46306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1568-2024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45426</v>
      </c>
      <c r="E331" s="1" t="n">
        <v>46306</v>
      </c>
      <c r="F331" t="inlineStr">
        <is>
          <t>ÖSTERGÖTLANDS LÄN</t>
        </is>
      </c>
      <c r="G331" t="inlineStr">
        <is>
          <t>SÖDERKÖPING</t>
        </is>
      </c>
      <c r="I331" t="n">
        <v>29.3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3312-2023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45195</v>
      </c>
      <c r="E332" s="1" t="n">
        <v>46306</v>
      </c>
      <c r="F332" t="inlineStr">
        <is>
          <t>ÖSTERGÖTLANDS LÄN</t>
        </is>
      </c>
      <c r="G332" t="inlineStr">
        <is>
          <t>SÖDERKÖPING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1540-2026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46168</v>
      </c>
      <c r="E333" s="1" t="n">
        <v>46306</v>
      </c>
      <c r="F333" t="inlineStr">
        <is>
          <t>ÖSTERGÖTLANDS LÄN</t>
        </is>
      </c>
      <c r="G333" t="inlineStr">
        <is>
          <t>SÖDERKÖPING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2026-10-11T02:01:14Z</dcterms:created>
  <dcterms:modified xmlns:dcterms="http://purl.org/dc/terms/" xmlns:xsi="http://www.w3.org/2001/XMLSchema-instance" xsi:type="dcterms:W3CDTF">2026-10-11T02:01:14Z</dcterms:modified>
</cp:coreProperties>
</file>