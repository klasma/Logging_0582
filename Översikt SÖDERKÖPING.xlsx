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46292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46292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46292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46292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46292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46292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46292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46292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46292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46292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46292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46292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46292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46292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21648-2023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45063</v>
      </c>
      <c r="E21" s="1" t="n">
        <v>46292</v>
      </c>
      <c r="F21" t="inlineStr">
        <is>
          <t>ÖSTERGÖTLANDS LÄN</t>
        </is>
      </c>
      <c r="G21" t="inlineStr">
        <is>
          <t>SÖDERKÖPING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Hasselsnok
Kopparödla</t>
        </is>
      </c>
      <c r="W21">
        <f>HYPERLINK("https://klasma.github.io/Logging_0582/artfynd/A 21648-2023 artfynd.xlsx", "A 21648-2023")</f>
        <v/>
      </c>
      <c r="X21">
        <f>HYPERLINK("https://klasma.github.io/Logging_0582/kartor/A 21648-2023 karta.png", "A 21648-2023")</f>
        <v/>
      </c>
      <c r="Y21">
        <f>HYPERLINK("https://klasma.github.io/Logging_0582/kartor_geotiff/A 21648-2023 georefererad karta.tif", "A 21648-2023")</f>
        <v/>
      </c>
      <c r="AA21">
        <f>HYPERLINK("https://klasma.github.io/Logging_0582/klagomål/A 21648-2023 FSC-klagomål.docx", "A 21648-2023")</f>
        <v/>
      </c>
      <c r="AB21">
        <f>HYPERLINK("https://klasma.github.io/Logging_0582/klagomålsmail/A 21648-2023 FSC-klagomål mail.docx", "A 21648-2023")</f>
        <v/>
      </c>
      <c r="AC21">
        <f>HYPERLINK("https://klasma.github.io/Logging_0582/tillsyn/A 21648-2023 tillsynsbegäran.docx", "A 21648-2023")</f>
        <v/>
      </c>
      <c r="AD21">
        <f>HYPERLINK("https://klasma.github.io/Logging_0582/tillsynsmail/A 21648-2023 tillsynsbegäran mail.docx", "A 21648-2023")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46292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46292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46292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46292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46292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46292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46292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46292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46292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46292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46292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46292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28549-2024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46292</v>
      </c>
      <c r="F34" t="inlineStr">
        <is>
          <t>ÖSTERGÖTLANDS LÄN</t>
        </is>
      </c>
      <c r="G34" t="inlineStr">
        <is>
          <t>SÖDERKÖPING</t>
        </is>
      </c>
      <c r="I34" t="n">
        <v>0.6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Vippärt</t>
        </is>
      </c>
      <c r="W34">
        <f>HYPERLINK("https://klasma.github.io/Logging_0582/artfynd/A 28549-2024 artfynd.xlsx", "A 28549-2024")</f>
        <v/>
      </c>
      <c r="X34">
        <f>HYPERLINK("https://klasma.github.io/Logging_0582/kartor/A 28549-2024 karta.png", "A 28549-2024")</f>
        <v/>
      </c>
      <c r="Y34">
        <f>HYPERLINK("https://klasma.github.io/Logging_0582/kartor_geotiff/A 28549-2024 georefererad karta.tif", "A 28549-2024")</f>
        <v/>
      </c>
      <c r="AA34">
        <f>HYPERLINK("https://klasma.github.io/Logging_0582/klagomål/A 28549-2024 FSC-klagomål.docx", "A 28549-2024")</f>
        <v/>
      </c>
      <c r="AB34">
        <f>HYPERLINK("https://klasma.github.io/Logging_0582/klagomålsmail/A 28549-2024 FSC-klagomål mail.docx", "A 28549-2024")</f>
        <v/>
      </c>
      <c r="AC34">
        <f>HYPERLINK("https://klasma.github.io/Logging_0582/tillsyn/A 28549-2024 tillsynsbegäran.docx", "A 28549-2024")</f>
        <v/>
      </c>
      <c r="AD34">
        <f>HYPERLINK("https://klasma.github.io/Logging_0582/tillsynsmail/A 28549-2024 tillsynsbegäran mail.docx", "A 28549-2024")</f>
        <v/>
      </c>
    </row>
    <row r="35" ht="15" customHeight="1">
      <c r="A35" t="inlineStr">
        <is>
          <t>A 30324-2024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45490</v>
      </c>
      <c r="E35" s="1" t="n">
        <v>46292</v>
      </c>
      <c r="F35" t="inlineStr">
        <is>
          <t>ÖSTERGÖTLANDS LÄN</t>
        </is>
      </c>
      <c r="G35" t="inlineStr">
        <is>
          <t>SÖDERKÖPING</t>
        </is>
      </c>
      <c r="I35" t="n">
        <v>10.9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Nattskärra</t>
        </is>
      </c>
      <c r="W35">
        <f>HYPERLINK("https://klasma.github.io/Logging_0582/artfynd/A 30324-2024 artfynd.xlsx", "A 30324-2024")</f>
        <v/>
      </c>
      <c r="X35">
        <f>HYPERLINK("https://klasma.github.io/Logging_0582/kartor/A 30324-2024 karta.png", "A 30324-2024")</f>
        <v/>
      </c>
      <c r="Y35">
        <f>HYPERLINK("https://klasma.github.io/Logging_0582/kartor_geotiff/A 30324-2024 georefererad karta.tif", "A 30324-2024")</f>
        <v/>
      </c>
      <c r="AA35">
        <f>HYPERLINK("https://klasma.github.io/Logging_0582/klagomål/A 30324-2024 FSC-klagomål.docx", "A 30324-2024")</f>
        <v/>
      </c>
      <c r="AB35">
        <f>HYPERLINK("https://klasma.github.io/Logging_0582/klagomålsmail/A 30324-2024 FSC-klagomål mail.docx", "A 30324-2024")</f>
        <v/>
      </c>
      <c r="AC35">
        <f>HYPERLINK("https://klasma.github.io/Logging_0582/tillsyn/A 30324-2024 tillsynsbegäran.docx", "A 30324-2024")</f>
        <v/>
      </c>
      <c r="AD35">
        <f>HYPERLINK("https://klasma.github.io/Logging_0582/tillsynsmail/A 30324-2024 tillsynsbegäran mail.docx", "A 30324-2024")</f>
        <v/>
      </c>
      <c r="AE35">
        <f>HYPERLINK("https://klasma.github.io/Logging_0582/fåglar/A 30324-2024 prioriterade fågelarter.docx", "A 30324-2024")</f>
        <v/>
      </c>
    </row>
    <row r="36" ht="15" customHeight="1">
      <c r="A36" t="inlineStr">
        <is>
          <t>S 466-2026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46073</v>
      </c>
      <c r="E36" s="1" t="n">
        <v>46292</v>
      </c>
      <c r="F36" t="inlineStr">
        <is>
          <t>ÖSTERGÖTLANDS LÄN</t>
        </is>
      </c>
      <c r="G36" t="inlineStr">
        <is>
          <t>SÖDERKÖPING</t>
        </is>
      </c>
      <c r="I36" t="n">
        <v>0.4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Guldlockmossa</t>
        </is>
      </c>
      <c r="W36">
        <f>HYPERLINK("https://klasma.github.io/Logging_0582/artfynd/S 466-2026 artfynd.xlsx", "S 466-2026")</f>
        <v/>
      </c>
      <c r="X36">
        <f>HYPERLINK("https://klasma.github.io/Logging_0582/kartor/S 466-2026 karta.png", "S 466-2026")</f>
        <v/>
      </c>
      <c r="Y36">
        <f>HYPERLINK("https://klasma.github.io/Logging_0582/kartor_geotiff/S 466-2026 georefererad karta.tif", "S 466-2026")</f>
        <v/>
      </c>
      <c r="AA36">
        <f>HYPERLINK("https://klasma.github.io/Logging_0582/klagomål/S 466-2026 FSC-klagomål.docx", "S 466-2026")</f>
        <v/>
      </c>
      <c r="AB36">
        <f>HYPERLINK("https://klasma.github.io/Logging_0582/klagomålsmail/S 466-2026 FSC-klagomål mail.docx", "S 466-2026")</f>
        <v/>
      </c>
      <c r="AC36">
        <f>HYPERLINK("https://klasma.github.io/Logging_0582/tillsyn/S 466-2026 tillsynsbegäran.docx", "S 466-2026")</f>
        <v/>
      </c>
      <c r="AD36">
        <f>HYPERLINK("https://klasma.github.io/Logging_0582/tillsynsmail/S 466-2026 tillsynsbegäran mail.docx", "S 466-2026")</f>
        <v/>
      </c>
    </row>
    <row r="37" ht="15" customHeight="1">
      <c r="A37" t="inlineStr">
        <is>
          <t>S 1539-2026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46168</v>
      </c>
      <c r="E37" s="1" t="n">
        <v>46292</v>
      </c>
      <c r="F37" t="inlineStr">
        <is>
          <t>ÖSTERGÖTLANDS LÄN</t>
        </is>
      </c>
      <c r="G37" t="inlineStr">
        <is>
          <t>SÖDERKÖPING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HYPERLINK("https://klasma.github.io/Logging_0582/artfynd/S 1539-2026 artfynd.xlsx", "S 1539-2026")</f>
        <v/>
      </c>
      <c r="X37">
        <f>HYPERLINK("https://klasma.github.io/Logging_0582/kartor/S 1539-2026 karta.png", "S 1539-2026")</f>
        <v/>
      </c>
      <c r="Y37">
        <f>HYPERLINK("https://klasma.github.io/Logging_0582/kartor_geotiff/S 1539-2026 georefererad karta.tif", "S 1539-2026")</f>
        <v/>
      </c>
      <c r="AA37">
        <f>HYPERLINK("https://klasma.github.io/Logging_0582/klagomål/S 1539-2026 FSC-klagomål.docx", "S 1539-2026")</f>
        <v/>
      </c>
      <c r="AB37">
        <f>HYPERLINK("https://klasma.github.io/Logging_0582/klagomålsmail/S 1539-2026 FSC-klagomål mail.docx", "S 1539-2026")</f>
        <v/>
      </c>
      <c r="AC37">
        <f>HYPERLINK("https://klasma.github.io/Logging_0582/tillsyn/S 1539-2026 tillsynsbegäran.docx", "S 1539-2026")</f>
        <v/>
      </c>
      <c r="AD37">
        <f>HYPERLINK("https://klasma.github.io/Logging_0582/tillsynsmail/S 1539-2026 tillsynsbegäran mail.docx", "S 1539-2026")</f>
        <v/>
      </c>
    </row>
    <row r="38" ht="15" customHeight="1">
      <c r="A38" t="inlineStr">
        <is>
          <t>A 49824-2022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46292</v>
      </c>
      <c r="F38" t="inlineStr">
        <is>
          <t>ÖSTERGÖTLANDS LÄN</t>
        </is>
      </c>
      <c r="G38" t="inlineStr">
        <is>
          <t>SÖDERKÖPING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44890</v>
      </c>
      <c r="E39" s="1" t="n">
        <v>46292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46292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46292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46292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46292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46292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46292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46292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46292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46292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46292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46292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46292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46292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46292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46292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46292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46292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46292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46292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46292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46292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46292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46292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46292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46292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50050-2023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45215</v>
      </c>
      <c r="E65" s="1" t="n">
        <v>46292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46292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46292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46292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46292</v>
      </c>
      <c r="F69" t="inlineStr">
        <is>
          <t>ÖSTERGÖTLANDS LÄN</t>
        </is>
      </c>
      <c r="G69" t="inlineStr">
        <is>
          <t>SÖDERKÖPING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46292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46292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46292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46292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46292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59885-2023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46292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46292</v>
      </c>
      <c r="F76" t="inlineStr">
        <is>
          <t>ÖSTERGÖTLANDS LÄN</t>
        </is>
      </c>
      <c r="G76" t="inlineStr">
        <is>
          <t>SÖDERKÖPING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46292</v>
      </c>
      <c r="F77" t="inlineStr">
        <is>
          <t>ÖSTERGÖTLANDS LÄN</t>
        </is>
      </c>
      <c r="G77" t="inlineStr">
        <is>
          <t>SÖDERKÖPING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45797</v>
      </c>
      <c r="E78" s="1" t="n">
        <v>46292</v>
      </c>
      <c r="F78" t="inlineStr">
        <is>
          <t>ÖSTERGÖTLANDS LÄN</t>
        </is>
      </c>
      <c r="G78" t="inlineStr">
        <is>
          <t>SÖDERKÖPING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46292</v>
      </c>
      <c r="F79" t="inlineStr">
        <is>
          <t>ÖSTERGÖTLANDS LÄN</t>
        </is>
      </c>
      <c r="G79" t="inlineStr">
        <is>
          <t>SÖDERKÖPING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24355-2025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45797</v>
      </c>
      <c r="E80" s="1" t="n">
        <v>46292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8999-2023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46292</v>
      </c>
      <c r="F81" t="inlineStr">
        <is>
          <t>ÖSTERGÖTLANDS LÄN</t>
        </is>
      </c>
      <c r="G81" t="inlineStr">
        <is>
          <t>SÖDERKÖPING</t>
        </is>
      </c>
      <c r="H81" t="inlineStr">
        <is>
          <t>Allmännings- och besparingsskogar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45295</v>
      </c>
      <c r="E82" s="1" t="n">
        <v>46292</v>
      </c>
      <c r="F82" t="inlineStr">
        <is>
          <t>ÖSTERGÖTLANDS LÄN</t>
        </is>
      </c>
      <c r="G82" t="inlineStr">
        <is>
          <t>SÖDERKÖPING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39854-2025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46292</v>
      </c>
      <c r="F83" t="inlineStr">
        <is>
          <t>ÖSTERGÖTLANDS LÄN</t>
        </is>
      </c>
      <c r="G83" t="inlineStr">
        <is>
          <t>SÖDERKÖPING</t>
        </is>
      </c>
      <c r="I83" t="n">
        <v>26.6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46292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46292</v>
      </c>
      <c r="F85" t="inlineStr">
        <is>
          <t>ÖSTERGÖTLANDS LÄN</t>
        </is>
      </c>
      <c r="G85" t="inlineStr">
        <is>
          <t>SÖDERKÖPING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46050</v>
      </c>
      <c r="E86" s="1" t="n">
        <v>46292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Kyrkan</t>
        </is>
      </c>
      <c r="I86" t="n">
        <v>11.7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42768-2025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46292</v>
      </c>
      <c r="F87" t="inlineStr">
        <is>
          <t>ÖSTERGÖTLANDS LÄN</t>
        </is>
      </c>
      <c r="G87" t="inlineStr">
        <is>
          <t>SÖDERKÖPING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6256-2026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46055</v>
      </c>
      <c r="E88" s="1" t="n">
        <v>46292</v>
      </c>
      <c r="F88" t="inlineStr">
        <is>
          <t>ÖSTERGÖTLANDS LÄN</t>
        </is>
      </c>
      <c r="G88" t="inlineStr">
        <is>
          <t>SÖDERKÖPING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46292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46292</v>
      </c>
      <c r="F90" t="inlineStr">
        <is>
          <t>ÖSTERGÖTLANDS LÄN</t>
        </is>
      </c>
      <c r="G90" t="inlineStr">
        <is>
          <t>SÖDERKÖPING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46056</v>
      </c>
      <c r="E91" s="1" t="n">
        <v>46292</v>
      </c>
      <c r="F91" t="inlineStr">
        <is>
          <t>ÖSTERGÖTLANDS LÄN</t>
        </is>
      </c>
      <c r="G91" t="inlineStr">
        <is>
          <t>SÖDERKÖPING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46292</v>
      </c>
      <c r="F92" t="inlineStr">
        <is>
          <t>ÖSTERGÖTLANDS LÄN</t>
        </is>
      </c>
      <c r="G92" t="inlineStr">
        <is>
          <t>SÖDERKÖPING</t>
        </is>
      </c>
      <c r="H92" t="inlineStr">
        <is>
          <t>Kyrkan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7852-2026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46062</v>
      </c>
      <c r="E93" s="1" t="n">
        <v>46292</v>
      </c>
      <c r="F93" t="inlineStr">
        <is>
          <t>ÖSTERGÖTLANDS LÄN</t>
        </is>
      </c>
      <c r="G93" t="inlineStr">
        <is>
          <t>SÖDERKÖPING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46292</v>
      </c>
      <c r="F94" t="inlineStr">
        <is>
          <t>ÖSTERGÖTLANDS LÄN</t>
        </is>
      </c>
      <c r="G94" t="inlineStr">
        <is>
          <t>SÖDERKÖPING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7822-2026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46062</v>
      </c>
      <c r="E95" s="1" t="n">
        <v>46292</v>
      </c>
      <c r="F95" t="inlineStr">
        <is>
          <t>ÖSTERGÖTLANDS LÄN</t>
        </is>
      </c>
      <c r="G95" t="inlineStr">
        <is>
          <t>SÖDERKÖPING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45742</v>
      </c>
      <c r="E96" s="1" t="n">
        <v>46292</v>
      </c>
      <c r="F96" t="inlineStr">
        <is>
          <t>ÖSTERGÖTLANDS LÄN</t>
        </is>
      </c>
      <c r="G96" t="inlineStr">
        <is>
          <t>SÖDERKÖPING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46061</v>
      </c>
      <c r="E97" s="1" t="n">
        <v>46292</v>
      </c>
      <c r="F97" t="inlineStr">
        <is>
          <t>ÖSTERGÖTLANDS LÄN</t>
        </is>
      </c>
      <c r="G97" t="inlineStr">
        <is>
          <t>SÖDERKÖPING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7836-2026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46062</v>
      </c>
      <c r="E98" s="1" t="n">
        <v>46292</v>
      </c>
      <c r="F98" t="inlineStr">
        <is>
          <t>ÖSTERGÖTLANDS LÄN</t>
        </is>
      </c>
      <c r="G98" t="inlineStr">
        <is>
          <t>SÖDERKÖPING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46292</v>
      </c>
      <c r="F99" t="inlineStr">
        <is>
          <t>ÖSTERGÖTLANDS LÄN</t>
        </is>
      </c>
      <c r="G99" t="inlineStr">
        <is>
          <t>SÖDERKÖPING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46292</v>
      </c>
      <c r="F100" t="inlineStr">
        <is>
          <t>ÖSTERGÖTLANDS LÄN</t>
        </is>
      </c>
      <c r="G100" t="inlineStr">
        <is>
          <t>SÖDERKÖPING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46292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44888</v>
      </c>
      <c r="E102" s="1" t="n">
        <v>46292</v>
      </c>
      <c r="F102" t="inlineStr">
        <is>
          <t>ÖSTERGÖTLANDS LÄN</t>
        </is>
      </c>
      <c r="G102" t="inlineStr">
        <is>
          <t>SÖDERKÖPING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46292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46292</v>
      </c>
      <c r="F104" t="inlineStr">
        <is>
          <t>ÖSTERGÖTLANDS LÄN</t>
        </is>
      </c>
      <c r="G104" t="inlineStr">
        <is>
          <t>SÖDERKÖPING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46292</v>
      </c>
      <c r="F105" t="inlineStr">
        <is>
          <t>ÖSTERGÖTLANDS LÄN</t>
        </is>
      </c>
      <c r="G105" t="inlineStr">
        <is>
          <t>SÖDERKÖPING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46292</v>
      </c>
      <c r="F106" t="inlineStr">
        <is>
          <t>ÖSTERGÖTLANDS LÄN</t>
        </is>
      </c>
      <c r="G106" t="inlineStr">
        <is>
          <t>SÖDERKÖPING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46292</v>
      </c>
      <c r="F107" t="inlineStr">
        <is>
          <t>ÖSTERGÖTLANDS LÄN</t>
        </is>
      </c>
      <c r="G107" t="inlineStr">
        <is>
          <t>SÖDERKÖPING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46292</v>
      </c>
      <c r="F108" t="inlineStr">
        <is>
          <t>ÖSTERGÖTLANDS LÄN</t>
        </is>
      </c>
      <c r="G108" t="inlineStr">
        <is>
          <t>SÖDERKÖPING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46292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46292</v>
      </c>
      <c r="F110" t="inlineStr">
        <is>
          <t>ÖSTERGÖTLANDS LÄN</t>
        </is>
      </c>
      <c r="G110" t="inlineStr">
        <is>
          <t>SÖDERKÖPING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46292</v>
      </c>
      <c r="F111" t="inlineStr">
        <is>
          <t>ÖSTERGÖTLANDS LÄN</t>
        </is>
      </c>
      <c r="G111" t="inlineStr">
        <is>
          <t>SÖDERKÖPING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46292</v>
      </c>
      <c r="F112" t="inlineStr">
        <is>
          <t>ÖSTERGÖTLANDS LÄN</t>
        </is>
      </c>
      <c r="G112" t="inlineStr">
        <is>
          <t>SÖDERKÖPING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46733-2025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46292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46292</v>
      </c>
      <c r="F114" t="inlineStr">
        <is>
          <t>ÖSTERGÖTLANDS LÄN</t>
        </is>
      </c>
      <c r="G114" t="inlineStr">
        <is>
          <t>SÖDERKÖPING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11005-2026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46079</v>
      </c>
      <c r="E115" s="1" t="n">
        <v>46292</v>
      </c>
      <c r="F115" t="inlineStr">
        <is>
          <t>ÖSTERGÖTLANDS LÄN</t>
        </is>
      </c>
      <c r="G115" t="inlineStr">
        <is>
          <t>SÖDERKÖPING</t>
        </is>
      </c>
      <c r="H115" t="inlineStr">
        <is>
          <t>Kyrkan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44911</v>
      </c>
      <c r="E116" s="1" t="n">
        <v>46292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Allmännings- och besparingsskogar</t>
        </is>
      </c>
      <c r="I116" t="n">
        <v>10.8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46292</v>
      </c>
      <c r="F117" t="inlineStr">
        <is>
          <t>ÖSTERGÖTLANDS LÄN</t>
        </is>
      </c>
      <c r="G117" t="inlineStr">
        <is>
          <t>SÖDERKÖPING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46084</v>
      </c>
      <c r="E118" s="1" t="n">
        <v>46292</v>
      </c>
      <c r="F118" t="inlineStr">
        <is>
          <t>ÖSTERGÖTLANDS LÄN</t>
        </is>
      </c>
      <c r="G118" t="inlineStr">
        <is>
          <t>SÖDERKÖPING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46084</v>
      </c>
      <c r="E119" s="1" t="n">
        <v>46292</v>
      </c>
      <c r="F119" t="inlineStr">
        <is>
          <t>ÖSTERGÖTLANDS LÄN</t>
        </is>
      </c>
      <c r="G119" t="inlineStr">
        <is>
          <t>SÖDERKÖPING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46292</v>
      </c>
      <c r="F120" t="inlineStr">
        <is>
          <t>ÖSTERGÖTLANDS LÄN</t>
        </is>
      </c>
      <c r="G120" t="inlineStr">
        <is>
          <t>SÖDERKÖPING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45344</v>
      </c>
      <c r="E121" s="1" t="n">
        <v>46292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46292</v>
      </c>
      <c r="F122" t="inlineStr">
        <is>
          <t>ÖSTERGÖTLANDS LÄN</t>
        </is>
      </c>
      <c r="G122" t="inlineStr">
        <is>
          <t>SÖDERKÖPING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46292</v>
      </c>
      <c r="F123" t="inlineStr">
        <is>
          <t>ÖSTERGÖTLANDS LÄN</t>
        </is>
      </c>
      <c r="G123" t="inlineStr">
        <is>
          <t>SÖDERKÖPING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14776-2026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46292</v>
      </c>
      <c r="F124" t="inlineStr">
        <is>
          <t>ÖSTERGÖTLANDS LÄN</t>
        </is>
      </c>
      <c r="G124" t="inlineStr">
        <is>
          <t>SÖDERKÖPING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46292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15462-2026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46292</v>
      </c>
      <c r="F126" t="inlineStr">
        <is>
          <t>ÖSTERGÖTLANDS LÄN</t>
        </is>
      </c>
      <c r="G126" t="inlineStr">
        <is>
          <t>SÖDERKÖPING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44572</v>
      </c>
      <c r="E127" s="1" t="n">
        <v>46292</v>
      </c>
      <c r="F127" t="inlineStr">
        <is>
          <t>ÖSTERGÖTLANDS LÄN</t>
        </is>
      </c>
      <c r="G127" t="inlineStr">
        <is>
          <t>SÖDERKÖPING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44736</v>
      </c>
      <c r="E128" s="1" t="n">
        <v>46292</v>
      </c>
      <c r="F128" t="inlineStr">
        <is>
          <t>ÖSTERGÖTLANDS LÄN</t>
        </is>
      </c>
      <c r="G128" t="inlineStr">
        <is>
          <t>SÖDERKÖPING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46292</v>
      </c>
      <c r="F129" t="inlineStr">
        <is>
          <t>ÖSTERGÖTLANDS LÄN</t>
        </is>
      </c>
      <c r="G129" t="inlineStr">
        <is>
          <t>SÖDERKÖPING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16232-2026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46292</v>
      </c>
      <c r="F130" t="inlineStr">
        <is>
          <t>ÖSTERGÖTLANDS LÄN</t>
        </is>
      </c>
      <c r="G130" t="inlineStr">
        <is>
          <t>SÖDERKÖPING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46292</v>
      </c>
      <c r="F131" t="inlineStr">
        <is>
          <t>ÖSTERGÖTLANDS LÄN</t>
        </is>
      </c>
      <c r="G131" t="inlineStr">
        <is>
          <t>SÖDERKÖPING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46111</v>
      </c>
      <c r="E132" s="1" t="n">
        <v>46292</v>
      </c>
      <c r="F132" t="inlineStr">
        <is>
          <t>ÖSTERGÖTLANDS LÄN</t>
        </is>
      </c>
      <c r="G132" t="inlineStr">
        <is>
          <t>SÖDERKÖPING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46292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16319-2026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46292</v>
      </c>
      <c r="F134" t="inlineStr">
        <is>
          <t>ÖSTERGÖTLANDS LÄN</t>
        </is>
      </c>
      <c r="G134" t="inlineStr">
        <is>
          <t>SÖDERKÖPING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46292</v>
      </c>
      <c r="F135" t="inlineStr">
        <is>
          <t>ÖSTERGÖTLANDS LÄN</t>
        </is>
      </c>
      <c r="G135" t="inlineStr">
        <is>
          <t>SÖDERKÖPING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46292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46292</v>
      </c>
      <c r="F137" t="inlineStr">
        <is>
          <t>ÖSTERGÖTLANDS LÄN</t>
        </is>
      </c>
      <c r="G137" t="inlineStr">
        <is>
          <t>SÖDERKÖPING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46292</v>
      </c>
      <c r="F138" t="inlineStr">
        <is>
          <t>ÖSTERGÖTLANDS LÄN</t>
        </is>
      </c>
      <c r="G138" t="inlineStr">
        <is>
          <t>SÖDERKÖPING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46292</v>
      </c>
      <c r="F139" t="inlineStr">
        <is>
          <t>ÖSTERGÖTLANDS LÄN</t>
        </is>
      </c>
      <c r="G139" t="inlineStr">
        <is>
          <t>SÖDERKÖPING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46292</v>
      </c>
      <c r="F140" t="inlineStr">
        <is>
          <t>ÖSTERGÖTLANDS LÄN</t>
        </is>
      </c>
      <c r="G140" t="inlineStr">
        <is>
          <t>SÖDERKÖPING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46292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56163-2025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46292</v>
      </c>
      <c r="F142" t="inlineStr">
        <is>
          <t>ÖSTERGÖTLANDS LÄN</t>
        </is>
      </c>
      <c r="G142" t="inlineStr">
        <is>
          <t>SÖDERKÖPING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46292</v>
      </c>
      <c r="F143" t="inlineStr">
        <is>
          <t>ÖSTERGÖTLANDS LÄN</t>
        </is>
      </c>
      <c r="G143" t="inlineStr">
        <is>
          <t>SÖDERKÖPING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28487-2025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46292</v>
      </c>
      <c r="F144" t="inlineStr">
        <is>
          <t>ÖSTERGÖTLANDS LÄN</t>
        </is>
      </c>
      <c r="G144" t="inlineStr">
        <is>
          <t>SÖDERKÖPING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46292</v>
      </c>
      <c r="F145" t="inlineStr">
        <is>
          <t>ÖSTERGÖTLANDS LÄN</t>
        </is>
      </c>
      <c r="G145" t="inlineStr">
        <is>
          <t>SÖDERKÖPING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45663</v>
      </c>
      <c r="E146" s="1" t="n">
        <v>46292</v>
      </c>
      <c r="F146" t="inlineStr">
        <is>
          <t>ÖSTERGÖTLANDS LÄN</t>
        </is>
      </c>
      <c r="G146" t="inlineStr">
        <is>
          <t>SÖDERKÖPING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26058-2022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44734</v>
      </c>
      <c r="E147" s="1" t="n">
        <v>46292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46292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46292</v>
      </c>
      <c r="F149" t="inlineStr">
        <is>
          <t>ÖSTERGÖTLANDS LÄN</t>
        </is>
      </c>
      <c r="G149" t="inlineStr">
        <is>
          <t>SÖDERKÖPING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58450-2025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46292</v>
      </c>
      <c r="F150" t="inlineStr">
        <is>
          <t>ÖSTERGÖTLANDS LÄN</t>
        </is>
      </c>
      <c r="G150" t="inlineStr">
        <is>
          <t>SÖDERKÖPING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46292</v>
      </c>
      <c r="F151" t="inlineStr">
        <is>
          <t>ÖSTERGÖTLANDS LÄN</t>
        </is>
      </c>
      <c r="G151" t="inlineStr">
        <is>
          <t>SÖDERKÖPING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19974-2026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46292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45734</v>
      </c>
      <c r="E153" s="1" t="n">
        <v>46292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46292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46292</v>
      </c>
      <c r="F155" t="inlineStr">
        <is>
          <t>ÖSTERGÖTLANDS LÄN</t>
        </is>
      </c>
      <c r="G155" t="inlineStr">
        <is>
          <t>SÖDERKÖPING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45756</v>
      </c>
      <c r="E156" s="1" t="n">
        <v>46292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46292</v>
      </c>
      <c r="F157" t="inlineStr">
        <is>
          <t>ÖSTERGÖTLANDS LÄN</t>
        </is>
      </c>
      <c r="G157" t="inlineStr">
        <is>
          <t>SÖDERKÖPING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46292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60160-2021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44495</v>
      </c>
      <c r="E159" s="1" t="n">
        <v>46292</v>
      </c>
      <c r="F159" t="inlineStr">
        <is>
          <t>ÖSTERGÖTLANDS LÄN</t>
        </is>
      </c>
      <c r="G159" t="inlineStr">
        <is>
          <t>SÖDERKÖPING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45742</v>
      </c>
      <c r="E160" s="1" t="n">
        <v>46292</v>
      </c>
      <c r="F160" t="inlineStr">
        <is>
          <t>ÖSTERGÖTLANDS LÄN</t>
        </is>
      </c>
      <c r="G160" t="inlineStr">
        <is>
          <t>SÖDERKÖPING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45692</v>
      </c>
      <c r="E161" s="1" t="n">
        <v>46292</v>
      </c>
      <c r="F161" t="inlineStr">
        <is>
          <t>ÖSTERGÖTLANDS LÄN</t>
        </is>
      </c>
      <c r="G161" t="inlineStr">
        <is>
          <t>SÖDERKÖPING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46292</v>
      </c>
      <c r="F162" t="inlineStr">
        <is>
          <t>ÖSTERGÖTLANDS LÄN</t>
        </is>
      </c>
      <c r="G162" t="inlineStr">
        <is>
          <t>SÖDERKÖPING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46292</v>
      </c>
      <c r="F163" t="inlineStr">
        <is>
          <t>ÖSTERGÖTLANDS LÄN</t>
        </is>
      </c>
      <c r="G163" t="inlineStr">
        <is>
          <t>SÖDERKÖPING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46292</v>
      </c>
      <c r="F164" t="inlineStr">
        <is>
          <t>ÖSTERGÖTLANDS LÄN</t>
        </is>
      </c>
      <c r="G164" t="inlineStr">
        <is>
          <t>SÖDERKÖPING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46292</v>
      </c>
      <c r="F165" t="inlineStr">
        <is>
          <t>ÖSTERGÖTLANDS LÄN</t>
        </is>
      </c>
      <c r="G165" t="inlineStr">
        <is>
          <t>SÖDERKÖPING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46003</v>
      </c>
      <c r="E166" s="1" t="n">
        <v>46292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61817-2025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46292</v>
      </c>
      <c r="F167" t="inlineStr">
        <is>
          <t>ÖSTERGÖTLANDS LÄN</t>
        </is>
      </c>
      <c r="G167" t="inlineStr">
        <is>
          <t>SÖDERKÖPING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20262-2026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46292</v>
      </c>
      <c r="F168" t="inlineStr">
        <is>
          <t>ÖSTERGÖTLANDS LÄN</t>
        </is>
      </c>
      <c r="G168" t="inlineStr">
        <is>
          <t>SÖDERKÖPING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46008</v>
      </c>
      <c r="E169" s="1" t="n">
        <v>46292</v>
      </c>
      <c r="F169" t="inlineStr">
        <is>
          <t>ÖSTERGÖTLANDS LÄN</t>
        </is>
      </c>
      <c r="G169" t="inlineStr">
        <is>
          <t>SÖDERKÖPING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16417-2025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45751</v>
      </c>
      <c r="E170" s="1" t="n">
        <v>46292</v>
      </c>
      <c r="F170" t="inlineStr">
        <is>
          <t>ÖSTERGÖTLANDS LÄN</t>
        </is>
      </c>
      <c r="G170" t="inlineStr">
        <is>
          <t>SÖDERKÖPING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46292</v>
      </c>
      <c r="F171" t="inlineStr">
        <is>
          <t>ÖSTERGÖTLANDS LÄN</t>
        </is>
      </c>
      <c r="G171" t="inlineStr">
        <is>
          <t>SÖDERKÖPING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46292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Allmännings- och besparingsskogar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46292</v>
      </c>
      <c r="F173" t="inlineStr">
        <is>
          <t>ÖSTERGÖTLANDS LÄN</t>
        </is>
      </c>
      <c r="G173" t="inlineStr">
        <is>
          <t>SÖDERKÖPING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46292</v>
      </c>
      <c r="F174" t="inlineStr">
        <is>
          <t>ÖSTERGÖTLANDS LÄN</t>
        </is>
      </c>
      <c r="G174" t="inlineStr">
        <is>
          <t>SÖDERKÖPING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45058</v>
      </c>
      <c r="E175" s="1" t="n">
        <v>46292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46139</v>
      </c>
      <c r="E176" s="1" t="n">
        <v>46292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20221-2023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45055</v>
      </c>
      <c r="E177" s="1" t="n">
        <v>46292</v>
      </c>
      <c r="F177" t="inlineStr">
        <is>
          <t>ÖSTERGÖTLANDS LÄN</t>
        </is>
      </c>
      <c r="G177" t="inlineStr">
        <is>
          <t>SÖDERKÖPING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50241-2022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46292</v>
      </c>
      <c r="F178" t="inlineStr">
        <is>
          <t>ÖSTERGÖTLANDS LÄN</t>
        </is>
      </c>
      <c r="G178" t="inlineStr">
        <is>
          <t>SÖDERKÖPING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46292</v>
      </c>
      <c r="F179" t="inlineStr">
        <is>
          <t>ÖSTERGÖTLANDS LÄN</t>
        </is>
      </c>
      <c r="G179" t="inlineStr">
        <is>
          <t>SÖDERKÖPING</t>
        </is>
      </c>
      <c r="I179" t="n">
        <v>6.3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46292</v>
      </c>
      <c r="F180" t="inlineStr">
        <is>
          <t>ÖSTERGÖTLANDS LÄN</t>
        </is>
      </c>
      <c r="G180" t="inlineStr">
        <is>
          <t>SÖDERKÖPING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46141</v>
      </c>
      <c r="E181" s="1" t="n">
        <v>46292</v>
      </c>
      <c r="F181" t="inlineStr">
        <is>
          <t>ÖSTERGÖTLANDS LÄN</t>
        </is>
      </c>
      <c r="G181" t="inlineStr">
        <is>
          <t>SÖDERKÖPING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20688-2026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46292</v>
      </c>
      <c r="F182" t="inlineStr">
        <is>
          <t>ÖSTERGÖTLANDS LÄN</t>
        </is>
      </c>
      <c r="G182" t="inlineStr">
        <is>
          <t>SÖDERKÖPING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34979-2025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45849</v>
      </c>
      <c r="E183" s="1" t="n">
        <v>46292</v>
      </c>
      <c r="F183" t="inlineStr">
        <is>
          <t>ÖSTERGÖTLANDS LÄN</t>
        </is>
      </c>
      <c r="G183" t="inlineStr">
        <is>
          <t>SÖDERKÖPING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45426</v>
      </c>
      <c r="E184" s="1" t="n">
        <v>46292</v>
      </c>
      <c r="F184" t="inlineStr">
        <is>
          <t>ÖSTERGÖTLANDS LÄN</t>
        </is>
      </c>
      <c r="G184" t="inlineStr">
        <is>
          <t>SÖDERKÖPING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46292</v>
      </c>
      <c r="F185" t="inlineStr">
        <is>
          <t>ÖSTERGÖTLANDS LÄN</t>
        </is>
      </c>
      <c r="G185" t="inlineStr">
        <is>
          <t>SÖDERKÖPING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46292</v>
      </c>
      <c r="F186" t="inlineStr">
        <is>
          <t>ÖSTERGÖTLANDS LÄN</t>
        </is>
      </c>
      <c r="G186" t="inlineStr">
        <is>
          <t>SÖDERKÖPING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46150</v>
      </c>
      <c r="E187" s="1" t="n">
        <v>46292</v>
      </c>
      <c r="F187" t="inlineStr">
        <is>
          <t>ÖSTERGÖTLANDS LÄN</t>
        </is>
      </c>
      <c r="G187" t="inlineStr">
        <is>
          <t>SÖDERKÖPING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46292</v>
      </c>
      <c r="F188" t="inlineStr">
        <is>
          <t>ÖSTERGÖTLANDS LÄN</t>
        </is>
      </c>
      <c r="G188" t="inlineStr">
        <is>
          <t>SÖDERKÖPING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46292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Holmen skog AB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46292</v>
      </c>
      <c r="F190" t="inlineStr">
        <is>
          <t>ÖSTERGÖTLANDS LÄN</t>
        </is>
      </c>
      <c r="G190" t="inlineStr">
        <is>
          <t>SÖDERKÖPING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46292</v>
      </c>
      <c r="F191" t="inlineStr">
        <is>
          <t>ÖSTERGÖTLANDS LÄN</t>
        </is>
      </c>
      <c r="G191" t="inlineStr">
        <is>
          <t>SÖDERKÖPING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46161</v>
      </c>
      <c r="E192" s="1" t="n">
        <v>46292</v>
      </c>
      <c r="F192" t="inlineStr">
        <is>
          <t>ÖSTERGÖTLANDS LÄN</t>
        </is>
      </c>
      <c r="G192" t="inlineStr">
        <is>
          <t>SÖDERKÖPING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46292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Kyrkan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46292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44966</v>
      </c>
      <c r="E195" s="1" t="n">
        <v>46292</v>
      </c>
      <c r="F195" t="inlineStr">
        <is>
          <t>ÖSTERGÖTLANDS LÄN</t>
        </is>
      </c>
      <c r="G195" t="inlineStr">
        <is>
          <t>SÖDERKÖPING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46292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46292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45849</v>
      </c>
      <c r="E198" s="1" t="n">
        <v>46292</v>
      </c>
      <c r="F198" t="inlineStr">
        <is>
          <t>ÖSTERGÖTLANDS LÄN</t>
        </is>
      </c>
      <c r="G198" t="inlineStr">
        <is>
          <t>SÖDERKÖPING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46292</v>
      </c>
      <c r="F199" t="inlineStr">
        <is>
          <t>ÖSTERGÖTLANDS LÄN</t>
        </is>
      </c>
      <c r="G199" t="inlineStr">
        <is>
          <t>SÖDERKÖPING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46292</v>
      </c>
      <c r="F200" t="inlineStr">
        <is>
          <t>ÖSTERGÖTLANDS LÄN</t>
        </is>
      </c>
      <c r="G200" t="inlineStr">
        <is>
          <t>SÖDERKÖPING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46292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46292</v>
      </c>
      <c r="F202" t="inlineStr">
        <is>
          <t>ÖSTERGÖTLANDS LÄN</t>
        </is>
      </c>
      <c r="G202" t="inlineStr">
        <is>
          <t>SÖDERKÖPING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44966</v>
      </c>
      <c r="E203" s="1" t="n">
        <v>46292</v>
      </c>
      <c r="F203" t="inlineStr">
        <is>
          <t>ÖSTERGÖTLANDS LÄN</t>
        </is>
      </c>
      <c r="G203" t="inlineStr">
        <is>
          <t>SÖDERKÖPING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24875-2026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46292</v>
      </c>
      <c r="F204" t="inlineStr">
        <is>
          <t>ÖSTERGÖTLANDS LÄN</t>
        </is>
      </c>
      <c r="G204" t="inlineStr">
        <is>
          <t>SÖDERKÖPING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46292</v>
      </c>
      <c r="F205" t="inlineStr">
        <is>
          <t>ÖSTERGÖTLANDS LÄN</t>
        </is>
      </c>
      <c r="G205" t="inlineStr">
        <is>
          <t>SÖDERKÖPING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46292</v>
      </c>
      <c r="F206" t="inlineStr">
        <is>
          <t>ÖSTERGÖTLANDS LÄN</t>
        </is>
      </c>
      <c r="G206" t="inlineStr">
        <is>
          <t>SÖDERKÖPING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46292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46292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44937</v>
      </c>
      <c r="E209" s="1" t="n">
        <v>46292</v>
      </c>
      <c r="F209" t="inlineStr">
        <is>
          <t>ÖSTERGÖTLANDS LÄN</t>
        </is>
      </c>
      <c r="G209" t="inlineStr">
        <is>
          <t>SÖDERKÖPING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46183</v>
      </c>
      <c r="E210" s="1" t="n">
        <v>46292</v>
      </c>
      <c r="F210" t="inlineStr">
        <is>
          <t>ÖSTERGÖTLANDS LÄN</t>
        </is>
      </c>
      <c r="G210" t="inlineStr">
        <is>
          <t>SÖDERKÖPING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46292</v>
      </c>
      <c r="F211" t="inlineStr">
        <is>
          <t>ÖSTERGÖTLANDS LÄN</t>
        </is>
      </c>
      <c r="G211" t="inlineStr">
        <is>
          <t>SÖDERKÖPING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45174</v>
      </c>
      <c r="E212" s="1" t="n">
        <v>46292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46292</v>
      </c>
      <c r="F213" t="inlineStr">
        <is>
          <t>ÖSTERGÖTLANDS LÄN</t>
        </is>
      </c>
      <c r="G213" t="inlineStr">
        <is>
          <t>SÖDERKÖPING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46292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26573-2026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46292</v>
      </c>
      <c r="F215" t="inlineStr">
        <is>
          <t>ÖSTERGÖTLANDS LÄN</t>
        </is>
      </c>
      <c r="G215" t="inlineStr">
        <is>
          <t>SÖDERKÖPING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26576-2026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46292</v>
      </c>
      <c r="F216" t="inlineStr">
        <is>
          <t>ÖSTERGÖTLANDS LÄN</t>
        </is>
      </c>
      <c r="G216" t="inlineStr">
        <is>
          <t>SÖDERKÖPING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46292</v>
      </c>
      <c r="F217" t="inlineStr">
        <is>
          <t>ÖSTERGÖTLANDS LÄN</t>
        </is>
      </c>
      <c r="G217" t="inlineStr">
        <is>
          <t>SÖDERKÖPING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26439-2026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46183</v>
      </c>
      <c r="E218" s="1" t="n">
        <v>46292</v>
      </c>
      <c r="F218" t="inlineStr">
        <is>
          <t>ÖSTERGÖTLANDS LÄN</t>
        </is>
      </c>
      <c r="G218" t="inlineStr">
        <is>
          <t>SÖDERKÖPING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12708-2024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46292</v>
      </c>
      <c r="F219" t="inlineStr">
        <is>
          <t>ÖSTERGÖTLANDS LÄN</t>
        </is>
      </c>
      <c r="G219" t="inlineStr">
        <is>
          <t>SÖDERKÖPING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22471-2026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46292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Kommuner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45876</v>
      </c>
      <c r="E221" s="1" t="n">
        <v>46292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45876</v>
      </c>
      <c r="E222" s="1" t="n">
        <v>46292</v>
      </c>
      <c r="F222" t="inlineStr">
        <is>
          <t>ÖSTERGÖTLANDS LÄN</t>
        </is>
      </c>
      <c r="G222" t="inlineStr">
        <is>
          <t>SÖDERKÖPING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46292</v>
      </c>
      <c r="F223" t="inlineStr">
        <is>
          <t>ÖSTERGÖTLANDS LÄN</t>
        </is>
      </c>
      <c r="G223" t="inlineStr">
        <is>
          <t>SÖDERKÖPING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44862</v>
      </c>
      <c r="E224" s="1" t="n">
        <v>46292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44813</v>
      </c>
      <c r="E225" s="1" t="n">
        <v>46292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45044-2023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45191</v>
      </c>
      <c r="E226" s="1" t="n">
        <v>46292</v>
      </c>
      <c r="F226" t="inlineStr">
        <is>
          <t>ÖSTERGÖTLANDS LÄN</t>
        </is>
      </c>
      <c r="G226" t="inlineStr">
        <is>
          <t>SÖDERKÖPING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13865-2025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46292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Holmen skog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46292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Holmen skog AB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45737</v>
      </c>
      <c r="E229" s="1" t="n">
        <v>46292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46292</v>
      </c>
      <c r="F230" t="inlineStr">
        <is>
          <t>ÖSTERGÖTLANDS LÄN</t>
        </is>
      </c>
      <c r="G230" t="inlineStr">
        <is>
          <t>SÖDERKÖPING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45181</v>
      </c>
      <c r="E231" s="1" t="n">
        <v>46292</v>
      </c>
      <c r="F231" t="inlineStr">
        <is>
          <t>ÖSTERGÖTLANDS LÄN</t>
        </is>
      </c>
      <c r="G231" t="inlineStr">
        <is>
          <t>SÖDERKÖPING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46292</v>
      </c>
      <c r="F232" t="inlineStr">
        <is>
          <t>ÖSTERGÖTLANDS LÄN</t>
        </is>
      </c>
      <c r="G232" t="inlineStr">
        <is>
          <t>SÖDERKÖPING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46292</v>
      </c>
      <c r="F233" t="inlineStr">
        <is>
          <t>ÖSTERGÖTLANDS LÄN</t>
        </is>
      </c>
      <c r="G233" t="inlineStr">
        <is>
          <t>SÖDERKÖPING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45093</v>
      </c>
      <c r="E234" s="1" t="n">
        <v>46292</v>
      </c>
      <c r="F234" t="inlineStr">
        <is>
          <t>ÖSTERGÖTLANDS LÄN</t>
        </is>
      </c>
      <c r="G234" t="inlineStr">
        <is>
          <t>SÖDERKÖPING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46292</v>
      </c>
      <c r="F235" t="inlineStr">
        <is>
          <t>ÖSTERGÖTLANDS LÄN</t>
        </is>
      </c>
      <c r="G235" t="inlineStr">
        <is>
          <t>SÖDERKÖPING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45055</v>
      </c>
      <c r="E236" s="1" t="n">
        <v>46292</v>
      </c>
      <c r="F236" t="inlineStr">
        <is>
          <t>ÖSTERGÖTLANDS LÄN</t>
        </is>
      </c>
      <c r="G236" t="inlineStr">
        <is>
          <t>SÖDERKÖPING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46292</v>
      </c>
      <c r="F237" t="inlineStr">
        <is>
          <t>ÖSTERGÖTLANDS LÄN</t>
        </is>
      </c>
      <c r="G237" t="inlineStr">
        <is>
          <t>SÖDERKÖPING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45684</v>
      </c>
      <c r="E238" s="1" t="n">
        <v>46292</v>
      </c>
      <c r="F238" t="inlineStr">
        <is>
          <t>ÖSTERGÖTLANDS LÄN</t>
        </is>
      </c>
      <c r="G238" t="inlineStr">
        <is>
          <t>SÖDERKÖPING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50040-2023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45215</v>
      </c>
      <c r="E239" s="1" t="n">
        <v>46292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Kyrkan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46292</v>
      </c>
      <c r="F240" t="inlineStr">
        <is>
          <t>ÖSTERGÖTLANDS LÄN</t>
        </is>
      </c>
      <c r="G240" t="inlineStr">
        <is>
          <t>SÖDERKÖPING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45190</v>
      </c>
      <c r="E241" s="1" t="n">
        <v>46292</v>
      </c>
      <c r="F241" t="inlineStr">
        <is>
          <t>ÖSTERGÖTLANDS LÄN</t>
        </is>
      </c>
      <c r="G241" t="inlineStr">
        <is>
          <t>SÖDERKÖPING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46292</v>
      </c>
      <c r="F242" t="inlineStr">
        <is>
          <t>ÖSTERGÖTLANDS LÄN</t>
        </is>
      </c>
      <c r="G242" t="inlineStr">
        <is>
          <t>SÖDERKÖPING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34793-2026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46258</v>
      </c>
      <c r="E243" s="1" t="n">
        <v>46292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46292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46292</v>
      </c>
      <c r="F245" t="inlineStr">
        <is>
          <t>ÖSTERGÖTLANDS LÄN</t>
        </is>
      </c>
      <c r="G245" t="inlineStr">
        <is>
          <t>SÖDERKÖPING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44618</v>
      </c>
      <c r="E246" s="1" t="n">
        <v>46292</v>
      </c>
      <c r="F246" t="inlineStr">
        <is>
          <t>ÖSTERGÖTLANDS LÄN</t>
        </is>
      </c>
      <c r="G246" t="inlineStr">
        <is>
          <t>SÖDERKÖPING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44711</v>
      </c>
      <c r="E247" s="1" t="n">
        <v>46292</v>
      </c>
      <c r="F247" t="inlineStr">
        <is>
          <t>ÖSTERGÖTLANDS LÄN</t>
        </is>
      </c>
      <c r="G247" t="inlineStr">
        <is>
          <t>SÖDERKÖPING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49367-2023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46292</v>
      </c>
      <c r="F248" t="inlineStr">
        <is>
          <t>ÖSTERGÖTLANDS LÄN</t>
        </is>
      </c>
      <c r="G248" t="inlineStr">
        <is>
          <t>SÖDERKÖPING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24726-2026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46171</v>
      </c>
      <c r="E249" s="1" t="n">
        <v>46292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46292</v>
      </c>
      <c r="F250" t="inlineStr">
        <is>
          <t>ÖSTERGÖTLANDS LÄN</t>
        </is>
      </c>
      <c r="G250" t="inlineStr">
        <is>
          <t>SÖDERKÖPING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45684</v>
      </c>
      <c r="E251" s="1" t="n">
        <v>46292</v>
      </c>
      <c r="F251" t="inlineStr">
        <is>
          <t>ÖSTERGÖTLANDS LÄN</t>
        </is>
      </c>
      <c r="G251" t="inlineStr">
        <is>
          <t>SÖDERKÖPING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45174</v>
      </c>
      <c r="E252" s="1" t="n">
        <v>46292</v>
      </c>
      <c r="F252" t="inlineStr">
        <is>
          <t>ÖSTERGÖTLANDS LÄN</t>
        </is>
      </c>
      <c r="G252" t="inlineStr">
        <is>
          <t>SÖDERKÖPING</t>
        </is>
      </c>
      <c r="I252" t="n">
        <v>15.3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45239</v>
      </c>
      <c r="E253" s="1" t="n">
        <v>46292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46219</v>
      </c>
      <c r="E254" s="1" t="n">
        <v>46292</v>
      </c>
      <c r="F254" t="inlineStr">
        <is>
          <t>ÖSTERGÖTLANDS LÄN</t>
        </is>
      </c>
      <c r="G254" t="inlineStr">
        <is>
          <t>SÖDERKÖPING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46219</v>
      </c>
      <c r="E255" s="1" t="n">
        <v>46292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45250</v>
      </c>
      <c r="E256" s="1" t="n">
        <v>46292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Holmen skog AB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46292</v>
      </c>
      <c r="F257" t="inlineStr">
        <is>
          <t>ÖSTERGÖTLANDS LÄN</t>
        </is>
      </c>
      <c r="G257" t="inlineStr">
        <is>
          <t>SÖDERKÖPING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46292</v>
      </c>
      <c r="F258" t="inlineStr">
        <is>
          <t>ÖSTERGÖTLANDS LÄN</t>
        </is>
      </c>
      <c r="G258" t="inlineStr">
        <is>
          <t>SÖDERKÖPING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46292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37684-2023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46292</v>
      </c>
      <c r="F260" t="inlineStr">
        <is>
          <t>ÖSTERGÖTLANDS LÄN</t>
        </is>
      </c>
      <c r="G260" t="inlineStr">
        <is>
          <t>SÖDERKÖPING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46292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29660-2022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46292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45297</v>
      </c>
      <c r="E263" s="1" t="n">
        <v>46292</v>
      </c>
      <c r="F263" t="inlineStr">
        <is>
          <t>ÖSTERGÖTLANDS LÄN</t>
        </is>
      </c>
      <c r="G263" t="inlineStr">
        <is>
          <t>SÖDERKÖPING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59471-2023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45254</v>
      </c>
      <c r="E264" s="1" t="n">
        <v>46292</v>
      </c>
      <c r="F264" t="inlineStr">
        <is>
          <t>ÖSTERGÖTLANDS LÄN</t>
        </is>
      </c>
      <c r="G264" t="inlineStr">
        <is>
          <t>SÖDERKÖPING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46227</v>
      </c>
      <c r="E265" s="1" t="n">
        <v>46292</v>
      </c>
      <c r="F265" t="inlineStr">
        <is>
          <t>ÖSTERGÖTLANDS LÄN</t>
        </is>
      </c>
      <c r="G265" t="inlineStr">
        <is>
          <t>SÖDERKÖPING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61514-2023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46292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31792-2026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46227</v>
      </c>
      <c r="E267" s="1" t="n">
        <v>46292</v>
      </c>
      <c r="F267" t="inlineStr">
        <is>
          <t>ÖSTERGÖTLANDS LÄN</t>
        </is>
      </c>
      <c r="G267" t="inlineStr">
        <is>
          <t>SÖDERKÖPING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46227</v>
      </c>
      <c r="E268" s="1" t="n">
        <v>46292</v>
      </c>
      <c r="F268" t="inlineStr">
        <is>
          <t>ÖSTERGÖTLANDS LÄN</t>
        </is>
      </c>
      <c r="G268" t="inlineStr">
        <is>
          <t>SÖDERKÖPING</t>
        </is>
      </c>
      <c r="I268" t="n">
        <v>8.5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13625-2025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45736</v>
      </c>
      <c r="E269" s="1" t="n">
        <v>46292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54787-2022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44883</v>
      </c>
      <c r="E270" s="1" t="n">
        <v>46292</v>
      </c>
      <c r="F270" t="inlineStr">
        <is>
          <t>ÖSTERGÖTLANDS LÄN</t>
        </is>
      </c>
      <c r="G270" t="inlineStr">
        <is>
          <t>SÖDERKÖPING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46292</v>
      </c>
      <c r="F271" t="inlineStr">
        <is>
          <t>ÖSTERGÖTLANDS LÄN</t>
        </is>
      </c>
      <c r="G271" t="inlineStr">
        <is>
          <t>SÖDERKÖPING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31628-2022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44775</v>
      </c>
      <c r="E272" s="1" t="n">
        <v>46292</v>
      </c>
      <c r="F272" t="inlineStr">
        <is>
          <t>ÖSTERGÖTLANDS LÄN</t>
        </is>
      </c>
      <c r="G272" t="inlineStr">
        <is>
          <t>SÖDERKÖPING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45197</v>
      </c>
      <c r="E273" s="1" t="n">
        <v>46292</v>
      </c>
      <c r="F273" t="inlineStr">
        <is>
          <t>ÖSTERGÖTLANDS LÄN</t>
        </is>
      </c>
      <c r="G273" t="inlineStr">
        <is>
          <t>SÖDERKÖPING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45549-2023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46292</v>
      </c>
      <c r="F274" t="inlineStr">
        <is>
          <t>ÖSTERGÖTLANDS LÄN</t>
        </is>
      </c>
      <c r="G274" t="inlineStr">
        <is>
          <t>SÖDERKÖPING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46292</v>
      </c>
      <c r="F275" t="inlineStr">
        <is>
          <t>ÖSTERGÖTLANDS LÄN</t>
        </is>
      </c>
      <c r="G275" t="inlineStr">
        <is>
          <t>SÖDERKÖPING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46292</v>
      </c>
      <c r="F276" t="inlineStr">
        <is>
          <t>ÖSTERGÖTLANDS LÄN</t>
        </is>
      </c>
      <c r="G276" t="inlineStr">
        <is>
          <t>SÖDERKÖPING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46241</v>
      </c>
      <c r="E277" s="1" t="n">
        <v>46292</v>
      </c>
      <c r="F277" t="inlineStr">
        <is>
          <t>ÖSTERGÖTLANDS LÄN</t>
        </is>
      </c>
      <c r="G277" t="inlineStr">
        <is>
          <t>SÖDERKÖPING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69425-2021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44531</v>
      </c>
      <c r="E278" s="1" t="n">
        <v>46292</v>
      </c>
      <c r="F278" t="inlineStr">
        <is>
          <t>ÖSTERGÖTLANDS LÄN</t>
        </is>
      </c>
      <c r="G278" t="inlineStr">
        <is>
          <t>SÖDERKÖPING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46241</v>
      </c>
      <c r="E279" s="1" t="n">
        <v>46292</v>
      </c>
      <c r="F279" t="inlineStr">
        <is>
          <t>ÖSTERGÖTLANDS LÄN</t>
        </is>
      </c>
      <c r="G279" t="inlineStr">
        <is>
          <t>SÖDERKÖPING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64825-2023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45282</v>
      </c>
      <c r="E280" s="1" t="n">
        <v>46292</v>
      </c>
      <c r="F280" t="inlineStr">
        <is>
          <t>ÖSTERGÖTLANDS LÄN</t>
        </is>
      </c>
      <c r="G280" t="inlineStr">
        <is>
          <t>SÖDERKÖPING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45457-2023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45194</v>
      </c>
      <c r="E281" s="1" t="n">
        <v>46292</v>
      </c>
      <c r="F281" t="inlineStr">
        <is>
          <t>ÖSTERGÖTLANDS LÄN</t>
        </is>
      </c>
      <c r="G281" t="inlineStr">
        <is>
          <t>SÖDERKÖPING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44951</v>
      </c>
      <c r="E282" s="1" t="n">
        <v>46292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46292</v>
      </c>
      <c r="F283" t="inlineStr">
        <is>
          <t>ÖSTERGÖTLANDS LÄN</t>
        </is>
      </c>
      <c r="G283" t="inlineStr">
        <is>
          <t>SÖDERKÖPING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66362-2021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44518</v>
      </c>
      <c r="E284" s="1" t="n">
        <v>46292</v>
      </c>
      <c r="F284" t="inlineStr">
        <is>
          <t>ÖSTERGÖTLANDS LÄN</t>
        </is>
      </c>
      <c r="G284" t="inlineStr">
        <is>
          <t>SÖDERKÖPING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46292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46292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Allmännings- och besparingsskogar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33649-2026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46248</v>
      </c>
      <c r="E287" s="1" t="n">
        <v>46292</v>
      </c>
      <c r="F287" t="inlineStr">
        <is>
          <t>ÖSTERGÖTLANDS LÄN</t>
        </is>
      </c>
      <c r="G287" t="inlineStr">
        <is>
          <t>SÖDERKÖPING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44753</v>
      </c>
      <c r="E288" s="1" t="n">
        <v>46292</v>
      </c>
      <c r="F288" t="inlineStr">
        <is>
          <t>ÖSTERGÖTLANDS LÄN</t>
        </is>
      </c>
      <c r="G288" t="inlineStr">
        <is>
          <t>SÖDERKÖPING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49227-2022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46292</v>
      </c>
      <c r="F289" t="inlineStr">
        <is>
          <t>ÖSTERGÖTLANDS LÄN</t>
        </is>
      </c>
      <c r="G289" t="inlineStr">
        <is>
          <t>SÖDERKÖPING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45061</v>
      </c>
      <c r="E290" s="1" t="n">
        <v>46292</v>
      </c>
      <c r="F290" t="inlineStr">
        <is>
          <t>ÖSTERGÖTLANDS LÄN</t>
        </is>
      </c>
      <c r="G290" t="inlineStr">
        <is>
          <t>SÖDERKÖPING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44978</v>
      </c>
      <c r="E291" s="1" t="n">
        <v>46292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Allmännings- och besparingsskogar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45097</v>
      </c>
      <c r="E292" s="1" t="n">
        <v>46292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53889-2021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44469</v>
      </c>
      <c r="E293" s="1" t="n">
        <v>46292</v>
      </c>
      <c r="F293" t="inlineStr">
        <is>
          <t>ÖSTERGÖTLANDS LÄN</t>
        </is>
      </c>
      <c r="G293" t="inlineStr">
        <is>
          <t>SÖDERKÖPING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25790-2023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45090</v>
      </c>
      <c r="E294" s="1" t="n">
        <v>46292</v>
      </c>
      <c r="F294" t="inlineStr">
        <is>
          <t>ÖSTERGÖTLANDS LÄN</t>
        </is>
      </c>
      <c r="G294" t="inlineStr">
        <is>
          <t>SÖDERKÖPING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50870-2023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45218</v>
      </c>
      <c r="E295" s="1" t="n">
        <v>46292</v>
      </c>
      <c r="F295" t="inlineStr">
        <is>
          <t>ÖSTERGÖTLANDS LÄN</t>
        </is>
      </c>
      <c r="G295" t="inlineStr">
        <is>
          <t>SÖDERKÖPING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45245</v>
      </c>
      <c r="E296" s="1" t="n">
        <v>46292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46292</v>
      </c>
      <c r="F297" t="inlineStr">
        <is>
          <t>ÖSTERGÖTLANDS LÄN</t>
        </is>
      </c>
      <c r="G297" t="inlineStr">
        <is>
          <t>SÖDERKÖPING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46292</v>
      </c>
      <c r="F298" t="inlineStr">
        <is>
          <t>ÖSTERGÖTLANDS LÄN</t>
        </is>
      </c>
      <c r="G298" t="inlineStr">
        <is>
          <t>SÖDERKÖPING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46292</v>
      </c>
      <c r="F299" t="inlineStr">
        <is>
          <t>ÖSTERGÖTLANDS LÄN</t>
        </is>
      </c>
      <c r="G299" t="inlineStr">
        <is>
          <t>SÖDERKÖPING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31313-2024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45504</v>
      </c>
      <c r="E300" s="1" t="n">
        <v>46292</v>
      </c>
      <c r="F300" t="inlineStr">
        <is>
          <t>ÖSTERGÖTLANDS LÄN</t>
        </is>
      </c>
      <c r="G300" t="inlineStr">
        <is>
          <t>SÖDERKÖPING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20776-2023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46292</v>
      </c>
      <c r="F301" t="inlineStr">
        <is>
          <t>ÖSTERGÖTLANDS LÄN</t>
        </is>
      </c>
      <c r="G301" t="inlineStr">
        <is>
          <t>SÖDERKÖPING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44917</v>
      </c>
      <c r="E302" s="1" t="n">
        <v>46292</v>
      </c>
      <c r="F302" t="inlineStr">
        <is>
          <t>ÖSTERGÖTLANDS LÄN</t>
        </is>
      </c>
      <c r="G302" t="inlineStr">
        <is>
          <t>SÖDERKÖPING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46292</v>
      </c>
      <c r="F303" t="inlineStr">
        <is>
          <t>ÖSTERGÖTLANDS LÄN</t>
        </is>
      </c>
      <c r="G303" t="inlineStr">
        <is>
          <t>SÖDERKÖPING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46292</v>
      </c>
      <c r="F304" t="inlineStr">
        <is>
          <t>ÖSTERGÖTLANDS LÄN</t>
        </is>
      </c>
      <c r="G304" t="inlineStr">
        <is>
          <t>SÖDERKÖPING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58223-2022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46292</v>
      </c>
      <c r="F305" t="inlineStr">
        <is>
          <t>ÖSTERGÖTLANDS LÄN</t>
        </is>
      </c>
      <c r="G305" t="inlineStr">
        <is>
          <t>SÖDERKÖPING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57255-2024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46292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46292</v>
      </c>
      <c r="F307" t="inlineStr">
        <is>
          <t>ÖSTERGÖTLANDS LÄN</t>
        </is>
      </c>
      <c r="G307" t="inlineStr">
        <is>
          <t>SÖDERKÖPING</t>
        </is>
      </c>
      <c r="H307" t="inlineStr">
        <is>
          <t>Allmännings- och besparingsskogar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46292</v>
      </c>
      <c r="F308" t="inlineStr">
        <is>
          <t>ÖSTERGÖTLANDS LÄN</t>
        </is>
      </c>
      <c r="G308" t="inlineStr">
        <is>
          <t>SÖDERKÖPING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45295</v>
      </c>
      <c r="E309" s="1" t="n">
        <v>46292</v>
      </c>
      <c r="F309" t="inlineStr">
        <is>
          <t>ÖSTERGÖTLANDS LÄN</t>
        </is>
      </c>
      <c r="G309" t="inlineStr">
        <is>
          <t>SÖDERKÖPING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46292</v>
      </c>
      <c r="F310" t="inlineStr">
        <is>
          <t>ÖSTERGÖTLANDS LÄN</t>
        </is>
      </c>
      <c r="G310" t="inlineStr">
        <is>
          <t>SÖDERKÖPING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45218</v>
      </c>
      <c r="E311" s="1" t="n">
        <v>46292</v>
      </c>
      <c r="F311" t="inlineStr">
        <is>
          <t>ÖSTERGÖTLANDS LÄN</t>
        </is>
      </c>
      <c r="G311" t="inlineStr">
        <is>
          <t>SÖDERKÖPING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45055</v>
      </c>
      <c r="E312" s="1" t="n">
        <v>46292</v>
      </c>
      <c r="F312" t="inlineStr">
        <is>
          <t>ÖSTERGÖTLANDS LÄN</t>
        </is>
      </c>
      <c r="G312" t="inlineStr">
        <is>
          <t>SÖDERKÖPING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20253-2023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46292</v>
      </c>
      <c r="F313" t="inlineStr">
        <is>
          <t>ÖSTERGÖTLANDS LÄN</t>
        </is>
      </c>
      <c r="G313" t="inlineStr">
        <is>
          <t>SÖDERKÖPING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46292</v>
      </c>
      <c r="F314" t="inlineStr">
        <is>
          <t>ÖSTERGÖTLANDS LÄN</t>
        </is>
      </c>
      <c r="G314" t="inlineStr">
        <is>
          <t>SÖDERKÖPING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45483-2023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46292</v>
      </c>
      <c r="F315" t="inlineStr">
        <is>
          <t>ÖSTERGÖTLANDS LÄN</t>
        </is>
      </c>
      <c r="G315" t="inlineStr">
        <is>
          <t>SÖDERKÖPING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46292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44796</v>
      </c>
      <c r="E317" s="1" t="n">
        <v>46292</v>
      </c>
      <c r="F317" t="inlineStr">
        <is>
          <t>ÖSTERGÖTLANDS LÄN</t>
        </is>
      </c>
      <c r="G317" t="inlineStr">
        <is>
          <t>SÖDERKÖPING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46292</v>
      </c>
      <c r="F318" t="inlineStr">
        <is>
          <t>ÖSTERGÖTLANDS LÄN</t>
        </is>
      </c>
      <c r="G318" t="inlineStr">
        <is>
          <t>SÖDERKÖPING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44588</v>
      </c>
      <c r="E319" s="1" t="n">
        <v>46292</v>
      </c>
      <c r="F319" t="inlineStr">
        <is>
          <t>ÖSTERGÖTLANDS LÄN</t>
        </is>
      </c>
      <c r="G319" t="inlineStr">
        <is>
          <t>SÖDERKÖPING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49251-2024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45595</v>
      </c>
      <c r="E320" s="1" t="n">
        <v>46292</v>
      </c>
      <c r="F320" t="inlineStr">
        <is>
          <t>ÖSTERGÖTLANDS LÄN</t>
        </is>
      </c>
      <c r="G320" t="inlineStr">
        <is>
          <t>SÖDERKÖPING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63392-2021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44508</v>
      </c>
      <c r="E321" s="1" t="n">
        <v>46292</v>
      </c>
      <c r="F321" t="inlineStr">
        <is>
          <t>ÖSTERGÖTLANDS LÄN</t>
        </is>
      </c>
      <c r="G321" t="inlineStr">
        <is>
          <t>SÖDERKÖPING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46292</v>
      </c>
      <c r="F322" t="inlineStr">
        <is>
          <t>ÖSTERGÖTLANDS LÄN</t>
        </is>
      </c>
      <c r="G322" t="inlineStr">
        <is>
          <t>SÖDERKÖPING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44965</v>
      </c>
      <c r="E323" s="1" t="n">
        <v>46292</v>
      </c>
      <c r="F323" t="inlineStr">
        <is>
          <t>ÖSTERGÖTLANDS LÄN</t>
        </is>
      </c>
      <c r="G323" t="inlineStr">
        <is>
          <t>SÖDERKÖPING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45188</v>
      </c>
      <c r="E324" s="1" t="n">
        <v>46292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46292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46292</v>
      </c>
      <c r="F326" t="inlineStr">
        <is>
          <t>ÖSTERGÖTLANDS LÄN</t>
        </is>
      </c>
      <c r="G326" t="inlineStr">
        <is>
          <t>SÖDERKÖPING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45687</v>
      </c>
      <c r="E327" s="1" t="n">
        <v>46292</v>
      </c>
      <c r="F327" t="inlineStr">
        <is>
          <t>ÖSTERGÖTLANDS LÄN</t>
        </is>
      </c>
      <c r="G327" t="inlineStr">
        <is>
          <t>SÖDERKÖPING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46292</v>
      </c>
      <c r="F328" t="inlineStr">
        <is>
          <t>ÖSTERGÖTLANDS LÄN</t>
        </is>
      </c>
      <c r="G328" t="inlineStr">
        <is>
          <t>SÖDERKÖPING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46292</v>
      </c>
      <c r="F329" t="inlineStr">
        <is>
          <t>ÖSTERGÖTLANDS LÄN</t>
        </is>
      </c>
      <c r="G329" t="inlineStr">
        <is>
          <t>SÖDERKÖPING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45700</v>
      </c>
      <c r="E330" s="1" t="n">
        <v>46292</v>
      </c>
      <c r="F330" t="inlineStr">
        <is>
          <t>ÖSTERGÖTLANDS LÄN</t>
        </is>
      </c>
      <c r="G330" t="inlineStr">
        <is>
          <t>SÖDERKÖPING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31305-2024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45504</v>
      </c>
      <c r="E331" s="1" t="n">
        <v>46292</v>
      </c>
      <c r="F331" t="inlineStr">
        <is>
          <t>ÖSTERGÖTLANDS LÄN</t>
        </is>
      </c>
      <c r="G331" t="inlineStr">
        <is>
          <t>SÖDERKÖPING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46292</v>
      </c>
      <c r="F332" t="inlineStr">
        <is>
          <t>ÖSTERGÖTLANDS LÄN</t>
        </is>
      </c>
      <c r="G332" t="inlineStr">
        <is>
          <t>SÖDERKÖPING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45435</v>
      </c>
      <c r="E333" s="1" t="n">
        <v>46292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46292</v>
      </c>
      <c r="F334" t="inlineStr">
        <is>
          <t>ÖSTERGÖTLANDS LÄN</t>
        </is>
      </c>
      <c r="G334" t="inlineStr">
        <is>
          <t>SÖDERKÖPING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51746-2023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46292</v>
      </c>
      <c r="F335" t="inlineStr">
        <is>
          <t>ÖSTERGÖTLANDS LÄN</t>
        </is>
      </c>
      <c r="G335" t="inlineStr">
        <is>
          <t>SÖDERKÖPING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45184</v>
      </c>
      <c r="E336" s="1" t="n">
        <v>46292</v>
      </c>
      <c r="F336" t="inlineStr">
        <is>
          <t>ÖSTERGÖTLANDS LÄN</t>
        </is>
      </c>
      <c r="G336" t="inlineStr">
        <is>
          <t>SÖDERKÖPING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45601</v>
      </c>
      <c r="E337" s="1" t="n">
        <v>46292</v>
      </c>
      <c r="F337" t="inlineStr">
        <is>
          <t>ÖSTERGÖTLANDS LÄN</t>
        </is>
      </c>
      <c r="G337" t="inlineStr">
        <is>
          <t>SÖDERKÖPING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31312-2024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45504</v>
      </c>
      <c r="E338" s="1" t="n">
        <v>46292</v>
      </c>
      <c r="F338" t="inlineStr">
        <is>
          <t>ÖSTERGÖTLANDS LÄN</t>
        </is>
      </c>
      <c r="G338" t="inlineStr">
        <is>
          <t>SÖDERKÖPING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46292</v>
      </c>
      <c r="F339" t="inlineStr">
        <is>
          <t>ÖSTERGÖTLANDS LÄN</t>
        </is>
      </c>
      <c r="G339" t="inlineStr">
        <is>
          <t>SÖDERKÖPING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9729-2023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44984</v>
      </c>
      <c r="E340" s="1" t="n">
        <v>46292</v>
      </c>
      <c r="F340" t="inlineStr">
        <is>
          <t>ÖSTERGÖTLANDS LÄN</t>
        </is>
      </c>
      <c r="G340" t="inlineStr">
        <is>
          <t>SÖDERKÖPING</t>
        </is>
      </c>
      <c r="I340" t="n">
        <v>13.8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45504</v>
      </c>
      <c r="E341" s="1" t="n">
        <v>46292</v>
      </c>
      <c r="F341" t="inlineStr">
        <is>
          <t>ÖSTERGÖTLANDS LÄN</t>
        </is>
      </c>
      <c r="G341" t="inlineStr">
        <is>
          <t>SÖDERKÖPING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45792</v>
      </c>
      <c r="E342" s="1" t="n">
        <v>46292</v>
      </c>
      <c r="F342" t="inlineStr">
        <is>
          <t>ÖSTERGÖTLANDS LÄN</t>
        </is>
      </c>
      <c r="G342" t="inlineStr">
        <is>
          <t>SÖDERKÖPING</t>
        </is>
      </c>
      <c r="I342" t="n">
        <v>12.2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4766-2024</t>
        </is>
      </c>
      <c r="B343" t="inlineStr">
        <is>
          <t>samrådsanmälan</t>
        </is>
      </c>
      <c r="C343" t="inlineStr">
        <is>
          <t>Åtgärd i nyckelbiotop</t>
        </is>
      </c>
      <c r="D343" s="1" t="n">
        <v>45610</v>
      </c>
      <c r="E343" s="1" t="n">
        <v>46292</v>
      </c>
      <c r="F343" t="inlineStr">
        <is>
          <t>ÖSTERGÖTLANDS LÄN</t>
        </is>
      </c>
      <c r="G343" t="inlineStr">
        <is>
          <t>SÖDERKÖPING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3958-2024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45567</v>
      </c>
      <c r="E344" s="1" t="n">
        <v>46292</v>
      </c>
      <c r="F344" t="inlineStr">
        <is>
          <t>ÖSTERGÖTLANDS LÄN</t>
        </is>
      </c>
      <c r="G344" t="inlineStr">
        <is>
          <t>SÖDERKÖPING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4052-2023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45246</v>
      </c>
      <c r="E345" s="1" t="n">
        <v>46292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1568-2024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45426</v>
      </c>
      <c r="E346" s="1" t="n">
        <v>46292</v>
      </c>
      <c r="F346" t="inlineStr">
        <is>
          <t>ÖSTERGÖTLANDS LÄN</t>
        </is>
      </c>
      <c r="G346" t="inlineStr">
        <is>
          <t>SÖDERKÖPING</t>
        </is>
      </c>
      <c r="I346" t="n">
        <v>29.3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3312-2023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45195</v>
      </c>
      <c r="E347" s="1" t="n">
        <v>46292</v>
      </c>
      <c r="F347" t="inlineStr">
        <is>
          <t>ÖSTERGÖTLANDS LÄN</t>
        </is>
      </c>
      <c r="G347" t="inlineStr">
        <is>
          <t>SÖDERKÖPING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1540-2026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46168</v>
      </c>
      <c r="E348" s="1" t="n">
        <v>46292</v>
      </c>
      <c r="F348" t="inlineStr">
        <is>
          <t>ÖSTERGÖTLANDS LÄN</t>
        </is>
      </c>
      <c r="G348" t="inlineStr">
        <is>
          <t>SÖDERKÖPING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2026-09-27T01:57:40Z</dcterms:created>
  <dcterms:modified xmlns:dcterms="http://purl.org/dc/terms/" xmlns:xsi="http://www.w3.org/2001/XMLSchema-instance" xsi:type="dcterms:W3CDTF">2026-09-27T01:57:41Z</dcterms:modified>
</cp:coreProperties>
</file>