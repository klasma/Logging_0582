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26931-2026</t>
        </is>
      </c>
      <c r="B4" s="1" t="n">
        <v>46185</v>
      </c>
      <c r="C4" s="1" t="n">
        <v>46193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Allmännings- och besparingsskogar</t>
        </is>
      </c>
      <c r="G4" t="n">
        <v>1.2</v>
      </c>
      <c r="H4" t="n">
        <v>2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Gyllensopp
Gullklubba
Kandelabersvamp
Persiljespindling
Svart skogssnigel
Björksplintborre
Noshornsoxe
Rävticka
Vanlig groda
Vanlig padda</t>
        </is>
      </c>
      <c r="S4">
        <f>HYPERLINK("https://klasma.github.io/Logging_0582/artfynd/A 26931-2026 artfynd.xlsx", "A 26931-2026")</f>
        <v/>
      </c>
      <c r="T4">
        <f>HYPERLINK("https://klasma.github.io/Logging_0582/kartor/A 26931-2026 karta.png", "A 26931-2026")</f>
        <v/>
      </c>
      <c r="V4">
        <f>HYPERLINK("https://klasma.github.io/Logging_0582/klagomål/A 26931-2026 FSC-klagomål.docx", "A 26931-2026")</f>
        <v/>
      </c>
      <c r="W4">
        <f>HYPERLINK("https://klasma.github.io/Logging_0582/klagomålsmail/A 26931-2026 FSC-klagomål mail.docx", "A 26931-2026")</f>
        <v/>
      </c>
      <c r="X4">
        <f>HYPERLINK("https://klasma.github.io/Logging_0582/tillsyn/A 26931-2026 tillsynsbegäran.docx", "A 26931-2026")</f>
        <v/>
      </c>
      <c r="Y4">
        <f>HYPERLINK("https://klasma.github.io/Logging_0582/tillsynsmail/A 26931-2026 tillsynsbegäran mail.docx", "A 26931-2026")</f>
        <v/>
      </c>
    </row>
    <row r="5" ht="15" customHeight="1">
      <c r="A5" t="inlineStr">
        <is>
          <t>A 23061-2026</t>
        </is>
      </c>
      <c r="B5" s="1" t="n">
        <v>46161</v>
      </c>
      <c r="C5" s="1" t="n">
        <v>46193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Dropptaggsvamp
Dvärgbägarlav
Motaggsvamp
Vedskivlav
Blodticka
Blåmossa
Flagellkvastmossa
Grönpyrola
Mindre märgborre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13129-2022</t>
        </is>
      </c>
      <c r="B6" s="1" t="n">
        <v>44644</v>
      </c>
      <c r="C6" s="1" t="n">
        <v>46193</v>
      </c>
      <c r="D6" t="inlineStr">
        <is>
          <t>ÖSTERGÖTLANDS LÄN</t>
        </is>
      </c>
      <c r="E6" t="inlineStr">
        <is>
          <t>SÖDERKÖPING</t>
        </is>
      </c>
      <c r="G6" t="n">
        <v>3.1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Gammelekslav
Oxtungssvamp
Reliktbock
Rosa skärelav
Skuggorangelav
Tallticka
Blåmossa
Gullviva</t>
        </is>
      </c>
      <c r="S6">
        <f>HYPERLINK("https://klasma.github.io/Logging_0582/artfynd/A 13129-2022 artfynd.xlsx", "A 13129-2022")</f>
        <v/>
      </c>
      <c r="T6">
        <f>HYPERLINK("https://klasma.github.io/Logging_0582/kartor/A 13129-2022 karta.png", "A 13129-2022")</f>
        <v/>
      </c>
      <c r="V6">
        <f>HYPERLINK("https://klasma.github.io/Logging_0582/klagomål/A 13129-2022 FSC-klagomål.docx", "A 13129-2022")</f>
        <v/>
      </c>
      <c r="W6">
        <f>HYPERLINK("https://klasma.github.io/Logging_0582/klagomålsmail/A 13129-2022 FSC-klagomål mail.docx", "A 13129-2022")</f>
        <v/>
      </c>
      <c r="X6">
        <f>HYPERLINK("https://klasma.github.io/Logging_0582/tillsyn/A 13129-2022 tillsynsbegäran.docx", "A 13129-2022")</f>
        <v/>
      </c>
      <c r="Y6">
        <f>HYPERLINK("https://klasma.github.io/Logging_0582/tillsynsmail/A 13129-2022 tillsynsbegäran mail.docx", "A 13129-2022")</f>
        <v/>
      </c>
    </row>
    <row r="7" ht="15" customHeight="1">
      <c r="A7" t="inlineStr">
        <is>
          <t>A 56879-2023</t>
        </is>
      </c>
      <c r="B7" s="1" t="n">
        <v>45244</v>
      </c>
      <c r="C7" s="1" t="n">
        <v>46193</v>
      </c>
      <c r="D7" t="inlineStr">
        <is>
          <t>ÖSTERGÖTLANDS LÄN</t>
        </is>
      </c>
      <c r="E7" t="inlineStr">
        <is>
          <t>SÖDERKÖPING</t>
        </is>
      </c>
      <c r="G7" t="n">
        <v>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Gammelekslav
Gul dropplav
Grå skärelav
Gulpudrad spiklav
Rostfläck</t>
        </is>
      </c>
      <c r="S7">
        <f>HYPERLINK("https://klasma.github.io/Logging_0582/artfynd/A 56879-2023 artfynd.xlsx", "A 56879-2023")</f>
        <v/>
      </c>
      <c r="T7">
        <f>HYPERLINK("https://klasma.github.io/Logging_0582/kartor/A 56879-2023 karta.png", "A 56879-2023")</f>
        <v/>
      </c>
      <c r="V7">
        <f>HYPERLINK("https://klasma.github.io/Logging_0582/klagomål/A 56879-2023 FSC-klagomål.docx", "A 56879-2023")</f>
        <v/>
      </c>
      <c r="W7">
        <f>HYPERLINK("https://klasma.github.io/Logging_0582/klagomålsmail/A 56879-2023 FSC-klagomål mail.docx", "A 56879-2023")</f>
        <v/>
      </c>
      <c r="X7">
        <f>HYPERLINK("https://klasma.github.io/Logging_0582/tillsyn/A 56879-2023 tillsynsbegäran.docx", "A 56879-2023")</f>
        <v/>
      </c>
      <c r="Y7">
        <f>HYPERLINK("https://klasma.github.io/Logging_0582/tillsynsmail/A 56879-2023 tillsynsbegäran mail.docx", "A 56879-2023")</f>
        <v/>
      </c>
    </row>
    <row r="8" ht="15" customHeight="1">
      <c r="A8" t="inlineStr">
        <is>
          <t>A 23127-2026</t>
        </is>
      </c>
      <c r="B8" s="1" t="n">
        <v>46161</v>
      </c>
      <c r="C8" s="1" t="n">
        <v>46193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2.9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Gul taggsvamp
Dvärgbägarlav
Motaggsvamp
Vedskivlav
Grönpyrola</t>
        </is>
      </c>
      <c r="S8">
        <f>HYPERLINK("https://klasma.github.io/Logging_0582/artfynd/A 23127-2026 artfynd.xlsx", "A 23127-2026")</f>
        <v/>
      </c>
      <c r="T8">
        <f>HYPERLINK("https://klasma.github.io/Logging_0582/kartor/A 23127-2026 karta.png", "A 23127-2026")</f>
        <v/>
      </c>
      <c r="V8">
        <f>HYPERLINK("https://klasma.github.io/Logging_0582/klagomål/A 23127-2026 FSC-klagomål.docx", "A 23127-2026")</f>
        <v/>
      </c>
      <c r="W8">
        <f>HYPERLINK("https://klasma.github.io/Logging_0582/klagomålsmail/A 23127-2026 FSC-klagomål mail.docx", "A 23127-2026")</f>
        <v/>
      </c>
      <c r="X8">
        <f>HYPERLINK("https://klasma.github.io/Logging_0582/tillsyn/A 23127-2026 tillsynsbegäran.docx", "A 23127-2026")</f>
        <v/>
      </c>
      <c r="Y8">
        <f>HYPERLINK("https://klasma.github.io/Logging_0582/tillsynsmail/A 23127-2026 tillsynsbegäran mail.docx", "A 23127-2026")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46193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Skogsalm
Backklöver
Jungfrulin
Svinrot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30438-2022</t>
        </is>
      </c>
      <c r="B10" s="1" t="n">
        <v>44761</v>
      </c>
      <c r="C10" s="1" t="n">
        <v>46193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HYPERLINK("https://klasma.github.io/Logging_0582/artfynd/A 30438-2022 artfynd.xlsx", "A 30438-2022")</f>
        <v/>
      </c>
      <c r="T10">
        <f>HYPERLINK("https://klasma.github.io/Logging_0582/kartor/A 30438-2022 karta.png", "A 30438-2022")</f>
        <v/>
      </c>
      <c r="V10">
        <f>HYPERLINK("https://klasma.github.io/Logging_0582/klagomål/A 30438-2022 FSC-klagomål.docx", "A 30438-2022")</f>
        <v/>
      </c>
      <c r="W10">
        <f>HYPERLINK("https://klasma.github.io/Logging_0582/klagomålsmail/A 30438-2022 FSC-klagomål mail.docx", "A 30438-2022")</f>
        <v/>
      </c>
      <c r="X10">
        <f>HYPERLINK("https://klasma.github.io/Logging_0582/tillsyn/A 30438-2022 tillsynsbegäran.docx", "A 30438-2022")</f>
        <v/>
      </c>
      <c r="Y10">
        <f>HYPERLINK("https://klasma.github.io/Logging_0582/tillsynsmail/A 30438-2022 tillsynsbegäran mail.docx", "A 30438-2022")</f>
        <v/>
      </c>
    </row>
    <row r="11" ht="15" customHeight="1">
      <c r="A11" t="inlineStr">
        <is>
          <t>A 26935-2026</t>
        </is>
      </c>
      <c r="B11" s="1" t="n">
        <v>46185</v>
      </c>
      <c r="C11" s="1" t="n">
        <v>46193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0.8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Gyllensopp
Persiljespindling
Vanlig padda</t>
        </is>
      </c>
      <c r="S11">
        <f>HYPERLINK("https://klasma.github.io/Logging_0582/artfynd/A 26935-2026 artfynd.xlsx", "A 26935-2026")</f>
        <v/>
      </c>
      <c r="T11">
        <f>HYPERLINK("https://klasma.github.io/Logging_0582/kartor/A 26935-2026 karta.png", "A 26935-2026")</f>
        <v/>
      </c>
      <c r="V11">
        <f>HYPERLINK("https://klasma.github.io/Logging_0582/klagomål/A 26935-2026 FSC-klagomål.docx", "A 26935-2026")</f>
        <v/>
      </c>
      <c r="W11">
        <f>HYPERLINK("https://klasma.github.io/Logging_0582/klagomålsmail/A 26935-2026 FSC-klagomål mail.docx", "A 26935-2026")</f>
        <v/>
      </c>
      <c r="X11">
        <f>HYPERLINK("https://klasma.github.io/Logging_0582/tillsyn/A 26935-2026 tillsynsbegäran.docx", "A 26935-2026")</f>
        <v/>
      </c>
      <c r="Y11">
        <f>HYPERLINK("https://klasma.github.io/Logging_0582/tillsynsmail/A 26935-2026 tillsynsbegäran mail.docx", "A 26935-2026")</f>
        <v/>
      </c>
    </row>
    <row r="12" ht="15" customHeight="1">
      <c r="A12" t="inlineStr">
        <is>
          <t>A 23756-2026</t>
        </is>
      </c>
      <c r="B12" s="1" t="n">
        <v>46164</v>
      </c>
      <c r="C12" s="1" t="n">
        <v>46193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Holmen skog AB</t>
        </is>
      </c>
      <c r="G12" t="n">
        <v>2.3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Blompraktbagge
Tjäder</t>
        </is>
      </c>
      <c r="S12">
        <f>HYPERLINK("https://klasma.github.io/Logging_0582/artfynd/A 23756-2026 artfynd.xlsx", "A 23756-2026")</f>
        <v/>
      </c>
      <c r="T12">
        <f>HYPERLINK("https://klasma.github.io/Logging_0582/kartor/A 23756-2026 karta.png", "A 23756-2026")</f>
        <v/>
      </c>
      <c r="V12">
        <f>HYPERLINK("https://klasma.github.io/Logging_0582/klagomål/A 23756-2026 FSC-klagomål.docx", "A 23756-2026")</f>
        <v/>
      </c>
      <c r="W12">
        <f>HYPERLINK("https://klasma.github.io/Logging_0582/klagomålsmail/A 23756-2026 FSC-klagomål mail.docx", "A 23756-2026")</f>
        <v/>
      </c>
      <c r="X12">
        <f>HYPERLINK("https://klasma.github.io/Logging_0582/tillsyn/A 23756-2026 tillsynsbegäran.docx", "A 23756-2026")</f>
        <v/>
      </c>
      <c r="Y12">
        <f>HYPERLINK("https://klasma.github.io/Logging_0582/tillsynsmail/A 23756-2026 tillsynsbegäran mail.docx", "A 23756-2026")</f>
        <v/>
      </c>
      <c r="Z12">
        <f>HYPERLINK("https://klasma.github.io/Logging_0582/fåglar/A 23756-2026 prioriterade fågelarter.docx", "A 23756-2026")</f>
        <v/>
      </c>
    </row>
    <row r="13" ht="15" customHeight="1">
      <c r="A13" t="inlineStr">
        <is>
          <t>A 7879-2023</t>
        </is>
      </c>
      <c r="B13" s="1" t="n">
        <v>44973</v>
      </c>
      <c r="C13" s="1" t="n">
        <v>46193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Korskovall</t>
        </is>
      </c>
      <c r="S13">
        <f>HYPERLINK("https://klasma.github.io/Logging_0582/artfynd/A 7879-2023 artfynd.xlsx", "A 7879-2023")</f>
        <v/>
      </c>
      <c r="T13">
        <f>HYPERLINK("https://klasma.github.io/Logging_0582/kartor/A 7879-2023 karta.png", "A 7879-2023")</f>
        <v/>
      </c>
      <c r="V13">
        <f>HYPERLINK("https://klasma.github.io/Logging_0582/klagomål/A 7879-2023 FSC-klagomål.docx", "A 7879-2023")</f>
        <v/>
      </c>
      <c r="W13">
        <f>HYPERLINK("https://klasma.github.io/Logging_0582/klagomålsmail/A 7879-2023 FSC-klagomål mail.docx", "A 7879-2023")</f>
        <v/>
      </c>
      <c r="X13">
        <f>HYPERLINK("https://klasma.github.io/Logging_0582/tillsyn/A 7879-2023 tillsynsbegäran.docx", "A 7879-2023")</f>
        <v/>
      </c>
      <c r="Y13">
        <f>HYPERLINK("https://klasma.github.io/Logging_0582/tillsynsmail/A 7879-2023 tillsynsbegäran mail.docx", "A 7879-2023")</f>
        <v/>
      </c>
    </row>
    <row r="14" ht="15" customHeight="1">
      <c r="A14" t="inlineStr">
        <is>
          <t>A 21648-2023</t>
        </is>
      </c>
      <c r="B14" s="1" t="n">
        <v>45063</v>
      </c>
      <c r="C14" s="1" t="n">
        <v>46193</v>
      </c>
      <c r="D14" t="inlineStr">
        <is>
          <t>ÖSTERGÖTLANDS LÄN</t>
        </is>
      </c>
      <c r="E14" t="inlineStr">
        <is>
          <t>SÖDERKÖPING</t>
        </is>
      </c>
      <c r="G14" t="n">
        <v>3.2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Hasselsnok
Kopparödla</t>
        </is>
      </c>
      <c r="S14">
        <f>HYPERLINK("https://klasma.github.io/Logging_0582/artfynd/A 21648-2023 artfynd.xlsx", "A 21648-2023")</f>
        <v/>
      </c>
      <c r="T14">
        <f>HYPERLINK("https://klasma.github.io/Logging_0582/kartor/A 21648-2023 karta.png", "A 21648-2023")</f>
        <v/>
      </c>
      <c r="V14">
        <f>HYPERLINK("https://klasma.github.io/Logging_0582/klagomål/A 21648-2023 FSC-klagomål.docx", "A 21648-2023")</f>
        <v/>
      </c>
      <c r="W14">
        <f>HYPERLINK("https://klasma.github.io/Logging_0582/klagomålsmail/A 21648-2023 FSC-klagomål mail.docx", "A 21648-2023")</f>
        <v/>
      </c>
      <c r="X14">
        <f>HYPERLINK("https://klasma.github.io/Logging_0582/tillsyn/A 21648-2023 tillsynsbegäran.docx", "A 21648-2023")</f>
        <v/>
      </c>
      <c r="Y14">
        <f>HYPERLINK("https://klasma.github.io/Logging_0582/tillsynsmail/A 21648-2023 tillsynsbegäran mail.docx", "A 21648-2023")</f>
        <v/>
      </c>
    </row>
    <row r="15" ht="15" customHeight="1">
      <c r="A15" t="inlineStr">
        <is>
          <t>A 49366-2023</t>
        </is>
      </c>
      <c r="B15" s="1" t="n">
        <v>45211</v>
      </c>
      <c r="C15" s="1" t="n">
        <v>46193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Krusfrö
Sångsvan</t>
        </is>
      </c>
      <c r="S15">
        <f>HYPERLINK("https://klasma.github.io/Logging_0582/artfynd/A 49366-2023 artfynd.xlsx", "A 49366-2023")</f>
        <v/>
      </c>
      <c r="T15">
        <f>HYPERLINK("https://klasma.github.io/Logging_0582/kartor/A 49366-2023 karta.png", "A 49366-2023")</f>
        <v/>
      </c>
      <c r="V15">
        <f>HYPERLINK("https://klasma.github.io/Logging_0582/klagomål/A 49366-2023 FSC-klagomål.docx", "A 49366-2023")</f>
        <v/>
      </c>
      <c r="W15">
        <f>HYPERLINK("https://klasma.github.io/Logging_0582/klagomålsmail/A 49366-2023 FSC-klagomål mail.docx", "A 49366-2023")</f>
        <v/>
      </c>
      <c r="X15">
        <f>HYPERLINK("https://klasma.github.io/Logging_0582/tillsyn/A 49366-2023 tillsynsbegäran.docx", "A 49366-2023")</f>
        <v/>
      </c>
      <c r="Y15">
        <f>HYPERLINK("https://klasma.github.io/Logging_0582/tillsynsmail/A 49366-2023 tillsynsbegäran mail.docx", "A 49366-2023")</f>
        <v/>
      </c>
      <c r="Z15">
        <f>HYPERLINK("https://klasma.github.io/Logging_0582/fåglar/A 49366-2023 prioriterade fågelarter.docx", "A 49366-2023")</f>
        <v/>
      </c>
    </row>
    <row r="16" ht="15" customHeight="1">
      <c r="A16" t="inlineStr">
        <is>
          <t>A 21042-2026</t>
        </is>
      </c>
      <c r="B16" s="1" t="n">
        <v>46146</v>
      </c>
      <c r="C16" s="1" t="n">
        <v>46193</v>
      </c>
      <c r="D16" t="inlineStr">
        <is>
          <t>ÖSTERGÖTLANDS LÄN</t>
        </is>
      </c>
      <c r="E16" t="inlineStr">
        <is>
          <t>SÖDERKÖPING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 dropplav
Gulpudrad spiklav</t>
        </is>
      </c>
      <c r="S16">
        <f>HYPERLINK("https://klasma.github.io/Logging_0582/artfynd/A 21042-2026 artfynd.xlsx", "A 21042-2026")</f>
        <v/>
      </c>
      <c r="T16">
        <f>HYPERLINK("https://klasma.github.io/Logging_0582/kartor/A 21042-2026 karta.png", "A 21042-2026")</f>
        <v/>
      </c>
      <c r="V16">
        <f>HYPERLINK("https://klasma.github.io/Logging_0582/klagomål/A 21042-2026 FSC-klagomål.docx", "A 21042-2026")</f>
        <v/>
      </c>
      <c r="W16">
        <f>HYPERLINK("https://klasma.github.io/Logging_0582/klagomålsmail/A 21042-2026 FSC-klagomål mail.docx", "A 21042-2026")</f>
        <v/>
      </c>
      <c r="X16">
        <f>HYPERLINK("https://klasma.github.io/Logging_0582/tillsyn/A 21042-2026 tillsynsbegäran.docx", "A 21042-2026")</f>
        <v/>
      </c>
      <c r="Y16">
        <f>HYPERLINK("https://klasma.github.io/Logging_0582/tillsynsmail/A 21042-2026 tillsynsbegäran mail.docx", "A 21042-2026")</f>
        <v/>
      </c>
    </row>
    <row r="17" ht="15" customHeight="1">
      <c r="A17" t="inlineStr">
        <is>
          <t>A 37183-2025</t>
        </is>
      </c>
      <c r="B17" s="1" t="n">
        <v>45875</v>
      </c>
      <c r="C17" s="1" t="n">
        <v>46193</v>
      </c>
      <c r="D17" t="inlineStr">
        <is>
          <t>ÖSTERGÖTLANDS LÄN</t>
        </is>
      </c>
      <c r="E17" t="inlineStr">
        <is>
          <t>SÖDERKÖPING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HYPERLINK("https://klasma.github.io/Logging_0582/artfynd/A 37183-2025 artfynd.xlsx", "A 37183-2025")</f>
        <v/>
      </c>
      <c r="T17">
        <f>HYPERLINK("https://klasma.github.io/Logging_0582/kartor/A 37183-2025 karta.png", "A 37183-2025")</f>
        <v/>
      </c>
      <c r="V17">
        <f>HYPERLINK("https://klasma.github.io/Logging_0582/klagomål/A 37183-2025 FSC-klagomål.docx", "A 37183-2025")</f>
        <v/>
      </c>
      <c r="W17">
        <f>HYPERLINK("https://klasma.github.io/Logging_0582/klagomålsmail/A 37183-2025 FSC-klagomål mail.docx", "A 37183-2025")</f>
        <v/>
      </c>
      <c r="X17">
        <f>HYPERLINK("https://klasma.github.io/Logging_0582/tillsyn/A 37183-2025 tillsynsbegäran.docx", "A 37183-2025")</f>
        <v/>
      </c>
      <c r="Y17">
        <f>HYPERLINK("https://klasma.github.io/Logging_0582/tillsynsmail/A 37183-2025 tillsynsbegäran mail.docx", "A 37183-2025")</f>
        <v/>
      </c>
    </row>
    <row r="18" ht="15" customHeight="1">
      <c r="A18" t="inlineStr">
        <is>
          <t>A 394-2026</t>
        </is>
      </c>
      <c r="B18" s="1" t="n">
        <v>46028</v>
      </c>
      <c r="C18" s="1" t="n">
        <v>46193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Igelkottsröksvamp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23100-2026</t>
        </is>
      </c>
      <c r="B19" s="1" t="n">
        <v>46161</v>
      </c>
      <c r="C19" s="1" t="n">
        <v>46193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Hyacintvaxskivling
Kattfotslav</t>
        </is>
      </c>
      <c r="S19">
        <f>HYPERLINK("https://klasma.github.io/Logging_0582/artfynd/A 23100-2026 artfynd.xlsx", "A 23100-2026")</f>
        <v/>
      </c>
      <c r="T19">
        <f>HYPERLINK("https://klasma.github.io/Logging_0582/kartor/A 23100-2026 karta.png", "A 23100-2026")</f>
        <v/>
      </c>
      <c r="V19">
        <f>HYPERLINK("https://klasma.github.io/Logging_0582/klagomål/A 23100-2026 FSC-klagomål.docx", "A 23100-2026")</f>
        <v/>
      </c>
      <c r="W19">
        <f>HYPERLINK("https://klasma.github.io/Logging_0582/klagomålsmail/A 23100-2026 FSC-klagomål mail.docx", "A 23100-2026")</f>
        <v/>
      </c>
      <c r="X19">
        <f>HYPERLINK("https://klasma.github.io/Logging_0582/tillsyn/A 23100-2026 tillsynsbegäran.docx", "A 23100-2026")</f>
        <v/>
      </c>
      <c r="Y19">
        <f>HYPERLINK("https://klasma.github.io/Logging_0582/tillsynsmail/A 23100-2026 tillsynsbegäran mail.docx", "A 23100-2026")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46193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28549-2024</t>
        </is>
      </c>
      <c r="B21" s="1" t="n">
        <v>45478</v>
      </c>
      <c r="C21" s="1" t="n">
        <v>46193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HYPERLINK("https://klasma.github.io/Logging_0582/artfynd/A 28549-2024 artfynd.xlsx", "A 28549-2024")</f>
        <v/>
      </c>
      <c r="T21">
        <f>HYPERLINK("https://klasma.github.io/Logging_0582/kartor/A 28549-2024 karta.png", "A 28549-2024")</f>
        <v/>
      </c>
      <c r="V21">
        <f>HYPERLINK("https://klasma.github.io/Logging_0582/klagomål/A 28549-2024 FSC-klagomål.docx", "A 28549-2024")</f>
        <v/>
      </c>
      <c r="W21">
        <f>HYPERLINK("https://klasma.github.io/Logging_0582/klagomålsmail/A 28549-2024 FSC-klagomål mail.docx", "A 28549-2024")</f>
        <v/>
      </c>
      <c r="X21">
        <f>HYPERLINK("https://klasma.github.io/Logging_0582/tillsyn/A 28549-2024 tillsynsbegäran.docx", "A 28549-2024")</f>
        <v/>
      </c>
      <c r="Y21">
        <f>HYPERLINK("https://klasma.github.io/Logging_0582/tillsynsmail/A 28549-2024 tillsynsbegäran mail.docx", "A 28549-2024")</f>
        <v/>
      </c>
    </row>
    <row r="22" ht="15" customHeight="1">
      <c r="A22" t="inlineStr">
        <is>
          <t>A 30324-2024</t>
        </is>
      </c>
      <c r="B22" s="1" t="n">
        <v>45490</v>
      </c>
      <c r="C22" s="1" t="n">
        <v>46193</v>
      </c>
      <c r="D22" t="inlineStr">
        <is>
          <t>ÖSTERGÖTLANDS LÄN</t>
        </is>
      </c>
      <c r="E22" t="inlineStr">
        <is>
          <t>SÖDERKÖPING</t>
        </is>
      </c>
      <c r="G22" t="n">
        <v>10.9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HYPERLINK("https://klasma.github.io/Logging_0582/artfynd/A 30324-2024 artfynd.xlsx", "A 30324-2024")</f>
        <v/>
      </c>
      <c r="T22">
        <f>HYPERLINK("https://klasma.github.io/Logging_0582/kartor/A 30324-2024 karta.png", "A 30324-2024")</f>
        <v/>
      </c>
      <c r="V22">
        <f>HYPERLINK("https://klasma.github.io/Logging_0582/klagomål/A 30324-2024 FSC-klagomål.docx", "A 30324-2024")</f>
        <v/>
      </c>
      <c r="W22">
        <f>HYPERLINK("https://klasma.github.io/Logging_0582/klagomålsmail/A 30324-2024 FSC-klagomål mail.docx", "A 30324-2024")</f>
        <v/>
      </c>
      <c r="X22">
        <f>HYPERLINK("https://klasma.github.io/Logging_0582/tillsyn/A 30324-2024 tillsynsbegäran.docx", "A 30324-2024")</f>
        <v/>
      </c>
      <c r="Y22">
        <f>HYPERLINK("https://klasma.github.io/Logging_0582/tillsynsmail/A 30324-2024 tillsynsbegäran mail.docx", "A 30324-2024")</f>
        <v/>
      </c>
      <c r="Z22">
        <f>HYPERLINK("https://klasma.github.io/Logging_0582/fåglar/A 30324-2024 prioriterade fågelarter.docx", "A 30324-2024")</f>
        <v/>
      </c>
    </row>
    <row r="23" ht="15" customHeight="1">
      <c r="A23" t="inlineStr">
        <is>
          <t>A 20269-2026</t>
        </is>
      </c>
      <c r="B23" s="1" t="n">
        <v>46139</v>
      </c>
      <c r="C23" s="1" t="n">
        <v>46193</v>
      </c>
      <c r="D23" t="inlineStr">
        <is>
          <t>ÖSTERGÖTLANDS LÄN</t>
        </is>
      </c>
      <c r="E23" t="inlineStr">
        <is>
          <t>SÖDERKÖPING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HYPERLINK("https://klasma.github.io/Logging_0582/artfynd/A 20269-2026 artfynd.xlsx", "A 20269-2026")</f>
        <v/>
      </c>
      <c r="T23">
        <f>HYPERLINK("https://klasma.github.io/Logging_0582/kartor/A 20269-2026 karta.png", "A 20269-2026")</f>
        <v/>
      </c>
      <c r="V23">
        <f>HYPERLINK("https://klasma.github.io/Logging_0582/klagomål/A 20269-2026 FSC-klagomål.docx", "A 20269-2026")</f>
        <v/>
      </c>
      <c r="W23">
        <f>HYPERLINK("https://klasma.github.io/Logging_0582/klagomålsmail/A 20269-2026 FSC-klagomål mail.docx", "A 20269-2026")</f>
        <v/>
      </c>
      <c r="X23">
        <f>HYPERLINK("https://klasma.github.io/Logging_0582/tillsyn/A 20269-2026 tillsynsbegäran.docx", "A 20269-2026")</f>
        <v/>
      </c>
      <c r="Y23">
        <f>HYPERLINK("https://klasma.github.io/Logging_0582/tillsynsmail/A 20269-2026 tillsynsbegäran mail.docx", "A 20269-2026")</f>
        <v/>
      </c>
    </row>
    <row r="24" ht="15" customHeight="1">
      <c r="A24" t="inlineStr">
        <is>
          <t>A 354-2024</t>
        </is>
      </c>
      <c r="B24" s="1" t="n">
        <v>45295</v>
      </c>
      <c r="C24" s="1" t="n">
        <v>46193</v>
      </c>
      <c r="D24" t="inlineStr">
        <is>
          <t>ÖSTERGÖTLANDS LÄN</t>
        </is>
      </c>
      <c r="E24" t="inlineStr">
        <is>
          <t>SÖDERKÖPING</t>
        </is>
      </c>
      <c r="G24" t="n">
        <v>10.2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HYPERLINK("https://klasma.github.io/Logging_0582/artfynd/A 354-2024 artfynd.xlsx", "A 354-2024")</f>
        <v/>
      </c>
      <c r="T24">
        <f>HYPERLINK("https://klasma.github.io/Logging_0582/kartor/A 354-2024 karta.png", "A 354-2024")</f>
        <v/>
      </c>
      <c r="V24">
        <f>HYPERLINK("https://klasma.github.io/Logging_0582/klagomål/A 354-2024 FSC-klagomål.docx", "A 354-2024")</f>
        <v/>
      </c>
      <c r="W24">
        <f>HYPERLINK("https://klasma.github.io/Logging_0582/klagomålsmail/A 354-2024 FSC-klagomål mail.docx", "A 354-2024")</f>
        <v/>
      </c>
      <c r="X24">
        <f>HYPERLINK("https://klasma.github.io/Logging_0582/tillsyn/A 354-2024 tillsynsbegäran.docx", "A 354-2024")</f>
        <v/>
      </c>
      <c r="Y24">
        <f>HYPERLINK("https://klasma.github.io/Logging_0582/tillsynsmail/A 354-2024 tillsynsbegäran mail.docx", "A 354-2024")</f>
        <v/>
      </c>
    </row>
    <row r="25" ht="15" customHeight="1">
      <c r="A25" t="inlineStr">
        <is>
          <t>A 8156-2023</t>
        </is>
      </c>
      <c r="B25" s="1" t="n">
        <v>44974</v>
      </c>
      <c r="C25" s="1" t="n">
        <v>46193</v>
      </c>
      <c r="D25" t="inlineStr">
        <is>
          <t>ÖSTERGÖTLANDS LÄN</t>
        </is>
      </c>
      <c r="E25" t="inlineStr">
        <is>
          <t>SÖDERKÖPING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HYPERLINK("https://klasma.github.io/Logging_0582/artfynd/A 8156-2023 artfynd.xlsx", "A 8156-2023")</f>
        <v/>
      </c>
      <c r="T25">
        <f>HYPERLINK("https://klasma.github.io/Logging_0582/kartor/A 8156-2023 karta.png", "A 8156-2023")</f>
        <v/>
      </c>
      <c r="V25">
        <f>HYPERLINK("https://klasma.github.io/Logging_0582/klagomål/A 8156-2023 FSC-klagomål.docx", "A 8156-2023")</f>
        <v/>
      </c>
      <c r="W25">
        <f>HYPERLINK("https://klasma.github.io/Logging_0582/klagomålsmail/A 8156-2023 FSC-klagomål mail.docx", "A 8156-2023")</f>
        <v/>
      </c>
      <c r="X25">
        <f>HYPERLINK("https://klasma.github.io/Logging_0582/tillsyn/A 8156-2023 tillsynsbegäran.docx", "A 8156-2023")</f>
        <v/>
      </c>
      <c r="Y25">
        <f>HYPERLINK("https://klasma.github.io/Logging_0582/tillsynsmail/A 8156-2023 tillsynsbegäran mail.docx", "A 8156-2023")</f>
        <v/>
      </c>
    </row>
    <row r="26" ht="15" customHeight="1">
      <c r="A26" t="inlineStr">
        <is>
          <t>A 8009-2026</t>
        </is>
      </c>
      <c r="B26" s="1" t="n">
        <v>46063</v>
      </c>
      <c r="C26" s="1" t="n">
        <v>46193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HYPERLINK("https://klasma.github.io/Logging_0582/artfynd/A 8009-2026 artfynd.xlsx", "A 8009-2026")</f>
        <v/>
      </c>
      <c r="T26">
        <f>HYPERLINK("https://klasma.github.io/Logging_0582/kartor/A 8009-2026 karta.png", "A 8009-2026")</f>
        <v/>
      </c>
      <c r="V26">
        <f>HYPERLINK("https://klasma.github.io/Logging_0582/klagomål/A 8009-2026 FSC-klagomål.docx", "A 8009-2026")</f>
        <v/>
      </c>
      <c r="W26">
        <f>HYPERLINK("https://klasma.github.io/Logging_0582/klagomålsmail/A 8009-2026 FSC-klagomål mail.docx", "A 8009-2026")</f>
        <v/>
      </c>
      <c r="X26">
        <f>HYPERLINK("https://klasma.github.io/Logging_0582/tillsyn/A 8009-2026 tillsynsbegäran.docx", "A 8009-2026")</f>
        <v/>
      </c>
      <c r="Y26">
        <f>HYPERLINK("https://klasma.github.io/Logging_0582/tillsynsmail/A 8009-2026 tillsynsbegäran mail.docx", "A 8009-2026")</f>
        <v/>
      </c>
    </row>
    <row r="27" ht="15" customHeight="1">
      <c r="A27" t="inlineStr">
        <is>
          <t>A 10992-2026</t>
        </is>
      </c>
      <c r="B27" s="1" t="n">
        <v>46079</v>
      </c>
      <c r="C27" s="1" t="n">
        <v>46193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Kyrkan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HYPERLINK("https://klasma.github.io/Logging_0582/artfynd/A 10992-2026 artfynd.xlsx", "A 10992-2026")</f>
        <v/>
      </c>
      <c r="T27">
        <f>HYPERLINK("https://klasma.github.io/Logging_0582/kartor/A 10992-2026 karta.png", "A 10992-2026")</f>
        <v/>
      </c>
      <c r="V27">
        <f>HYPERLINK("https://klasma.github.io/Logging_0582/klagomål/A 10992-2026 FSC-klagomål.docx", "A 10992-2026")</f>
        <v/>
      </c>
      <c r="W27">
        <f>HYPERLINK("https://klasma.github.io/Logging_0582/klagomålsmail/A 10992-2026 FSC-klagomål mail.docx", "A 10992-2026")</f>
        <v/>
      </c>
      <c r="X27">
        <f>HYPERLINK("https://klasma.github.io/Logging_0582/tillsyn/A 10992-2026 tillsynsbegäran.docx", "A 10992-2026")</f>
        <v/>
      </c>
      <c r="Y27">
        <f>HYPERLINK("https://klasma.github.io/Logging_0582/tillsynsmail/A 10992-2026 tillsynsbegäran mail.docx", "A 10992-2026")</f>
        <v/>
      </c>
    </row>
    <row r="28" ht="15" customHeight="1">
      <c r="A28" t="inlineStr">
        <is>
          <t>A 17632-2026</t>
        </is>
      </c>
      <c r="B28" s="1" t="n">
        <v>46121</v>
      </c>
      <c r="C28" s="1" t="n">
        <v>46193</v>
      </c>
      <c r="D28" t="inlineStr">
        <is>
          <t>ÖSTERGÖTLANDS LÄN</t>
        </is>
      </c>
      <c r="E28" t="inlineStr">
        <is>
          <t>SÖDERKÖPING</t>
        </is>
      </c>
      <c r="G28" t="n">
        <v>3.3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HYPERLINK("https://klasma.github.io/Logging_0582/artfynd/A 17632-2026 artfynd.xlsx", "A 17632-2026")</f>
        <v/>
      </c>
      <c r="T28">
        <f>HYPERLINK("https://klasma.github.io/Logging_0582/kartor/A 17632-2026 karta.png", "A 17632-2026")</f>
        <v/>
      </c>
      <c r="V28">
        <f>HYPERLINK("https://klasma.github.io/Logging_0582/klagomål/A 17632-2026 FSC-klagomål.docx", "A 17632-2026")</f>
        <v/>
      </c>
      <c r="W28">
        <f>HYPERLINK("https://klasma.github.io/Logging_0582/klagomålsmail/A 17632-2026 FSC-klagomål mail.docx", "A 17632-2026")</f>
        <v/>
      </c>
      <c r="X28">
        <f>HYPERLINK("https://klasma.github.io/Logging_0582/tillsyn/A 17632-2026 tillsynsbegäran.docx", "A 17632-2026")</f>
        <v/>
      </c>
      <c r="Y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s="1" t="n">
        <v>45601</v>
      </c>
      <c r="C29" s="1" t="n">
        <v>46193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HYPERLINK("https://klasma.github.io/Logging_0582/artfynd/A 50708-2024 artfynd.xlsx", "A 50708-2024")</f>
        <v/>
      </c>
      <c r="T29">
        <f>HYPERLINK("https://klasma.github.io/Logging_0582/kartor/A 50708-2024 karta.png", "A 50708-2024")</f>
        <v/>
      </c>
      <c r="V29">
        <f>HYPERLINK("https://klasma.github.io/Logging_0582/klagomål/A 50708-2024 FSC-klagomål.docx", "A 50708-2024")</f>
        <v/>
      </c>
      <c r="W29">
        <f>HYPERLINK("https://klasma.github.io/Logging_0582/klagomålsmail/A 50708-2024 FSC-klagomål mail.docx", "A 50708-2024")</f>
        <v/>
      </c>
      <c r="X29">
        <f>HYPERLINK("https://klasma.github.io/Logging_0582/tillsyn/A 50708-2024 tillsynsbegäran.docx", "A 50708-2024")</f>
        <v/>
      </c>
      <c r="Y29">
        <f>HYPERLINK("https://klasma.github.io/Logging_0582/tillsynsmail/A 50708-2024 tillsynsbegäran mail.docx", "A 50708-2024")</f>
        <v/>
      </c>
    </row>
    <row r="30" ht="15" customHeight="1">
      <c r="A30" t="inlineStr">
        <is>
          <t>A 49824-2022</t>
        </is>
      </c>
      <c r="B30" s="1" t="n">
        <v>44862</v>
      </c>
      <c r="C30" s="1" t="n">
        <v>46193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56219-2022</t>
        </is>
      </c>
      <c r="B31" s="1" t="n">
        <v>44890</v>
      </c>
      <c r="C31" s="1" t="n">
        <v>46193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38508-2021</t>
        </is>
      </c>
      <c r="B32" s="1" t="n">
        <v>44407</v>
      </c>
      <c r="C32" s="1" t="n">
        <v>46193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39516-2021</t>
        </is>
      </c>
      <c r="B33" s="1" t="n">
        <v>44414</v>
      </c>
      <c r="C33" s="1" t="n">
        <v>46193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48091-2021</t>
        </is>
      </c>
      <c r="B34" s="1" t="n">
        <v>44448</v>
      </c>
      <c r="C34" s="1" t="n">
        <v>46193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8628-2022</t>
        </is>
      </c>
      <c r="B35" s="1" t="n">
        <v>44613</v>
      </c>
      <c r="C35" s="1" t="n">
        <v>46193</v>
      </c>
      <c r="D35" t="inlineStr">
        <is>
          <t>ÖSTERGÖTLANDS LÄN</t>
        </is>
      </c>
      <c r="E35" t="inlineStr">
        <is>
          <t>SÖDERKÖPING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17275-2022</t>
        </is>
      </c>
      <c r="B36" s="1" t="n">
        <v>44678</v>
      </c>
      <c r="C36" s="1" t="n">
        <v>46193</v>
      </c>
      <c r="D36" t="inlineStr">
        <is>
          <t>ÖSTERGÖTLANDS LÄN</t>
        </is>
      </c>
      <c r="E36" t="inlineStr">
        <is>
          <t>SÖDERKÖPING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19338-2022</t>
        </is>
      </c>
      <c r="B37" s="1" t="n">
        <v>44692</v>
      </c>
      <c r="C37" s="1" t="n">
        <v>46193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Kommuner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46193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46193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49823-2022</t>
        </is>
      </c>
      <c r="B40" s="1" t="n">
        <v>44862</v>
      </c>
      <c r="C40" s="1" t="n">
        <v>46193</v>
      </c>
      <c r="D40" t="inlineStr">
        <is>
          <t>ÖSTERGÖTLANDS LÄN</t>
        </is>
      </c>
      <c r="E40" t="inlineStr">
        <is>
          <t>SÖDERKÖPING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52451-2022</t>
        </is>
      </c>
      <c r="B41" s="1" t="n">
        <v>44874</v>
      </c>
      <c r="C41" s="1" t="n">
        <v>46193</v>
      </c>
      <c r="D41" t="inlineStr">
        <is>
          <t>ÖSTERGÖTLANDS LÄN</t>
        </is>
      </c>
      <c r="E41" t="inlineStr">
        <is>
          <t>SÖDERKÖPING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56587-2021</t>
        </is>
      </c>
      <c r="B42" s="1" t="n">
        <v>44480</v>
      </c>
      <c r="C42" s="1" t="n">
        <v>46193</v>
      </c>
      <c r="D42" t="inlineStr">
        <is>
          <t>ÖSTERGÖTLANDS LÄN</t>
        </is>
      </c>
      <c r="E42" t="inlineStr">
        <is>
          <t>SÖDERKÖPING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10836-2022</t>
        </is>
      </c>
      <c r="B43" s="1" t="n">
        <v>44627</v>
      </c>
      <c r="C43" s="1" t="n">
        <v>46193</v>
      </c>
      <c r="D43" t="inlineStr">
        <is>
          <t>ÖSTERGÖTLANDS LÄN</t>
        </is>
      </c>
      <c r="E43" t="inlineStr">
        <is>
          <t>SÖDERKÖPING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18251-2022</t>
        </is>
      </c>
      <c r="B44" s="1" t="n">
        <v>44685</v>
      </c>
      <c r="C44" s="1" t="n">
        <v>46193</v>
      </c>
      <c r="D44" t="inlineStr">
        <is>
          <t>ÖSTERGÖTLANDS LÄN</t>
        </is>
      </c>
      <c r="E44" t="inlineStr">
        <is>
          <t>SÖDERKÖPING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42432-2022</t>
        </is>
      </c>
      <c r="B45" s="1" t="n">
        <v>44831</v>
      </c>
      <c r="C45" s="1" t="n">
        <v>46193</v>
      </c>
      <c r="D45" t="inlineStr">
        <is>
          <t>ÖSTERGÖTLANDS LÄN</t>
        </is>
      </c>
      <c r="E45" t="inlineStr">
        <is>
          <t>SÖDERKÖPING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46193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54324-2022</t>
        </is>
      </c>
      <c r="B47" s="1" t="n">
        <v>44882</v>
      </c>
      <c r="C47" s="1" t="n">
        <v>46193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611-2022</t>
        </is>
      </c>
      <c r="B48" s="1" t="n">
        <v>44567</v>
      </c>
      <c r="C48" s="1" t="n">
        <v>46193</v>
      </c>
      <c r="D48" t="inlineStr">
        <is>
          <t>ÖSTERGÖTLANDS LÄN</t>
        </is>
      </c>
      <c r="E48" t="inlineStr">
        <is>
          <t>SÖDERKÖPING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23774-2022</t>
        </is>
      </c>
      <c r="B49" s="1" t="n">
        <v>44722</v>
      </c>
      <c r="C49" s="1" t="n">
        <v>46193</v>
      </c>
      <c r="D49" t="inlineStr">
        <is>
          <t>ÖSTERGÖTLANDS LÄN</t>
        </is>
      </c>
      <c r="E49" t="inlineStr">
        <is>
          <t>SÖDERKÖPING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59415-2021</t>
        </is>
      </c>
      <c r="B50" s="1" t="n">
        <v>44491</v>
      </c>
      <c r="C50" s="1" t="n">
        <v>46193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39517-2021</t>
        </is>
      </c>
      <c r="B51" s="1" t="n">
        <v>44414</v>
      </c>
      <c r="C51" s="1" t="n">
        <v>46193</v>
      </c>
      <c r="D51" t="inlineStr">
        <is>
          <t>ÖSTERGÖTLANDS LÄN</t>
        </is>
      </c>
      <c r="E51" t="inlineStr">
        <is>
          <t>SÖDERKÖPING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34166-2021</t>
        </is>
      </c>
      <c r="B52" s="1" t="n">
        <v>44379</v>
      </c>
      <c r="C52" s="1" t="n">
        <v>46193</v>
      </c>
      <c r="D52" t="inlineStr">
        <is>
          <t>ÖSTERGÖTLANDS LÄN</t>
        </is>
      </c>
      <c r="E52" t="inlineStr">
        <is>
          <t>SÖDERKÖPING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46193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</v>
      </c>
      <c r="C54" s="1" t="n">
        <v>46193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46193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</v>
      </c>
      <c r="C56" s="1" t="n">
        <v>46193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46193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46193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8999-2023</t>
        </is>
      </c>
      <c r="B59" s="1" t="n">
        <v>44979</v>
      </c>
      <c r="C59" s="1" t="n">
        <v>46193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309-2024</t>
        </is>
      </c>
      <c r="B60" s="1" t="n">
        <v>45295</v>
      </c>
      <c r="C60" s="1" t="n">
        <v>46193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66362-2021</t>
        </is>
      </c>
      <c r="B61" s="1" t="n">
        <v>44518</v>
      </c>
      <c r="C61" s="1" t="n">
        <v>46193</v>
      </c>
      <c r="D61" t="inlineStr">
        <is>
          <t>ÖSTERGÖTLANDS LÄN</t>
        </is>
      </c>
      <c r="E61" t="inlineStr">
        <is>
          <t>SÖDERKÖPING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56213-2022</t>
        </is>
      </c>
      <c r="B62" s="1" t="n">
        <v>44890</v>
      </c>
      <c r="C62" s="1" t="n">
        <v>46193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</v>
      </c>
      <c r="C63" s="1" t="n">
        <v>46193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53891-2021</t>
        </is>
      </c>
      <c r="B64" s="1" t="n">
        <v>44469</v>
      </c>
      <c r="C64" s="1" t="n">
        <v>46193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42355-2023</t>
        </is>
      </c>
      <c r="B65" s="1" t="n">
        <v>45180</v>
      </c>
      <c r="C65" s="1" t="n">
        <v>46193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57888-2022</t>
        </is>
      </c>
      <c r="B66" s="1" t="n">
        <v>44900</v>
      </c>
      <c r="C66" s="1" t="n">
        <v>46193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56861-2023</t>
        </is>
      </c>
      <c r="B67" s="1" t="n">
        <v>45244</v>
      </c>
      <c r="C67" s="1" t="n">
        <v>46193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9002-2023</t>
        </is>
      </c>
      <c r="B68" s="1" t="n">
        <v>44979</v>
      </c>
      <c r="C68" s="1" t="n">
        <v>46193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29374-2022</t>
        </is>
      </c>
      <c r="B69" s="1" t="n">
        <v>44753</v>
      </c>
      <c r="C69" s="1" t="n">
        <v>46193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49227-2022</t>
        </is>
      </c>
      <c r="B70" s="1" t="n">
        <v>44861</v>
      </c>
      <c r="C70" s="1" t="n">
        <v>46193</v>
      </c>
      <c r="D70" t="inlineStr">
        <is>
          <t>ÖSTERGÖTLANDS LÄN</t>
        </is>
      </c>
      <c r="E70" t="inlineStr">
        <is>
          <t>SÖDERKÖPING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46193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20967-2023</t>
        </is>
      </c>
      <c r="B72" s="1" t="n">
        <v>45061</v>
      </c>
      <c r="C72" s="1" t="n">
        <v>46193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8799-2023</t>
        </is>
      </c>
      <c r="B73" s="1" t="n">
        <v>44978</v>
      </c>
      <c r="C73" s="1" t="n">
        <v>46193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49230-2022</t>
        </is>
      </c>
      <c r="B74" s="1" t="n">
        <v>44861</v>
      </c>
      <c r="C74" s="1" t="n">
        <v>46193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57027-2024</t>
        </is>
      </c>
      <c r="B75" s="1" t="n">
        <v>45628</v>
      </c>
      <c r="C75" s="1" t="n">
        <v>46193</v>
      </c>
      <c r="D75" t="inlineStr">
        <is>
          <t>ÖSTERGÖTLANDS LÄN</t>
        </is>
      </c>
      <c r="E75" t="inlineStr">
        <is>
          <t>SÖDERKÖPING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14579-2025</t>
        </is>
      </c>
      <c r="B76" s="1" t="n">
        <v>45742</v>
      </c>
      <c r="C76" s="1" t="n">
        <v>46193</v>
      </c>
      <c r="D76" t="inlineStr">
        <is>
          <t>ÖSTERGÖTLANDS LÄN</t>
        </is>
      </c>
      <c r="E76" t="inlineStr">
        <is>
          <t>SÖDERKÖPING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</v>
      </c>
      <c r="C77" s="1" t="n">
        <v>46193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38646-2024</t>
        </is>
      </c>
      <c r="B78" s="1" t="n">
        <v>45546</v>
      </c>
      <c r="C78" s="1" t="n">
        <v>46193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50050-2023</t>
        </is>
      </c>
      <c r="B79" s="1" t="n">
        <v>45215</v>
      </c>
      <c r="C79" s="1" t="n">
        <v>46193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41300-2021</t>
        </is>
      </c>
      <c r="B80" s="1" t="n">
        <v>44424</v>
      </c>
      <c r="C80" s="1" t="n">
        <v>46193</v>
      </c>
      <c r="D80" t="inlineStr">
        <is>
          <t>ÖSTERGÖTLANDS LÄN</t>
        </is>
      </c>
      <c r="E80" t="inlineStr">
        <is>
          <t>SÖDERKÖPING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55853-2022</t>
        </is>
      </c>
      <c r="B81" s="1" t="n">
        <v>44888</v>
      </c>
      <c r="C81" s="1" t="n">
        <v>46193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54961-2021</t>
        </is>
      </c>
      <c r="B82" s="1" t="n">
        <v>44474</v>
      </c>
      <c r="C82" s="1" t="n">
        <v>46193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51748-2023</t>
        </is>
      </c>
      <c r="B83" s="1" t="n">
        <v>45222</v>
      </c>
      <c r="C83" s="1" t="n">
        <v>46193</v>
      </c>
      <c r="D83" t="inlineStr">
        <is>
          <t>ÖSTERGÖTLANDS LÄN</t>
        </is>
      </c>
      <c r="E83" t="inlineStr">
        <is>
          <t>SÖDERKÖPING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27598-2023</t>
        </is>
      </c>
      <c r="B84" s="1" t="n">
        <v>45097</v>
      </c>
      <c r="C84" s="1" t="n">
        <v>46193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53889-2021</t>
        </is>
      </c>
      <c r="B85" s="1" t="n">
        <v>44469</v>
      </c>
      <c r="C85" s="1" t="n">
        <v>46193</v>
      </c>
      <c r="D85" t="inlineStr">
        <is>
          <t>ÖSTERGÖTLANDS LÄN</t>
        </is>
      </c>
      <c r="E85" t="inlineStr">
        <is>
          <t>SÖDERKÖPING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25790-2023</t>
        </is>
      </c>
      <c r="B86" s="1" t="n">
        <v>45090</v>
      </c>
      <c r="C86" s="1" t="n">
        <v>46193</v>
      </c>
      <c r="D86" t="inlineStr">
        <is>
          <t>ÖSTERGÖTLANDS LÄN</t>
        </is>
      </c>
      <c r="E86" t="inlineStr">
        <is>
          <t>SÖDERKÖPING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60640-2022</t>
        </is>
      </c>
      <c r="B87" s="1" t="n">
        <v>44911</v>
      </c>
      <c r="C87" s="1" t="n">
        <v>46193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50870-2023</t>
        </is>
      </c>
      <c r="B88" s="1" t="n">
        <v>45218</v>
      </c>
      <c r="C88" s="1" t="n">
        <v>46193</v>
      </c>
      <c r="D88" t="inlineStr">
        <is>
          <t>ÖSTERGÖTLANDS LÄN</t>
        </is>
      </c>
      <c r="E88" t="inlineStr">
        <is>
          <t>SÖDERKÖPING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53777-2023</t>
        </is>
      </c>
      <c r="B89" s="1" t="n">
        <v>45231</v>
      </c>
      <c r="C89" s="1" t="n">
        <v>46193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53315-2024</t>
        </is>
      </c>
      <c r="B90" s="1" t="n">
        <v>45614</v>
      </c>
      <c r="C90" s="1" t="n">
        <v>46193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57349-2023</t>
        </is>
      </c>
      <c r="B91" s="1" t="n">
        <v>45245</v>
      </c>
      <c r="C91" s="1" t="n">
        <v>46193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7902-2025</t>
        </is>
      </c>
      <c r="B92" s="1" t="n">
        <v>45707</v>
      </c>
      <c r="C92" s="1" t="n">
        <v>46193</v>
      </c>
      <c r="D92" t="inlineStr">
        <is>
          <t>ÖSTERGÖTLANDS LÄN</t>
        </is>
      </c>
      <c r="E92" t="inlineStr">
        <is>
          <t>SÖDERKÖPING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33731-2023</t>
        </is>
      </c>
      <c r="B93" s="1" t="n">
        <v>45119</v>
      </c>
      <c r="C93" s="1" t="n">
        <v>46193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33733-2023</t>
        </is>
      </c>
      <c r="B94" s="1" t="n">
        <v>45119</v>
      </c>
      <c r="C94" s="1" t="n">
        <v>46193</v>
      </c>
      <c r="D94" t="inlineStr">
        <is>
          <t>ÖSTERGÖTLANDS LÄN</t>
        </is>
      </c>
      <c r="E94" t="inlineStr">
        <is>
          <t>SÖDERKÖPING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7208-2024</t>
        </is>
      </c>
      <c r="B95" s="1" t="n">
        <v>45344</v>
      </c>
      <c r="C95" s="1" t="n">
        <v>46193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31313-2024</t>
        </is>
      </c>
      <c r="B96" s="1" t="n">
        <v>45504</v>
      </c>
      <c r="C96" s="1" t="n">
        <v>46193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26915-2023</t>
        </is>
      </c>
      <c r="B97" s="1" t="n">
        <v>45093</v>
      </c>
      <c r="C97" s="1" t="n">
        <v>46193</v>
      </c>
      <c r="D97" t="inlineStr">
        <is>
          <t>ÖSTERGÖTLANDS LÄN</t>
        </is>
      </c>
      <c r="E97" t="inlineStr">
        <is>
          <t>SÖDERKÖPING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20776-2023</t>
        </is>
      </c>
      <c r="B98" s="1" t="n">
        <v>45058</v>
      </c>
      <c r="C98" s="1" t="n">
        <v>46193</v>
      </c>
      <c r="D98" t="inlineStr">
        <is>
          <t>ÖSTERGÖTLANDS LÄN</t>
        </is>
      </c>
      <c r="E98" t="inlineStr">
        <is>
          <t>SÖDERKÖPING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61802-2022</t>
        </is>
      </c>
      <c r="B99" s="1" t="n">
        <v>44917</v>
      </c>
      <c r="C99" s="1" t="n">
        <v>46193</v>
      </c>
      <c r="D99" t="inlineStr">
        <is>
          <t>ÖSTERGÖTLANDS LÄN</t>
        </is>
      </c>
      <c r="E99" t="inlineStr">
        <is>
          <t>SÖDERKÖPING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459-2024</t>
        </is>
      </c>
      <c r="B100" s="1" t="n">
        <v>45297</v>
      </c>
      <c r="C100" s="1" t="n">
        <v>46193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40351-2023</t>
        </is>
      </c>
      <c r="B101" s="1" t="n">
        <v>45169</v>
      </c>
      <c r="C101" s="1" t="n">
        <v>46193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40356-2023</t>
        </is>
      </c>
      <c r="B102" s="1" t="n">
        <v>45169</v>
      </c>
      <c r="C102" s="1" t="n">
        <v>46193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58223-2022</t>
        </is>
      </c>
      <c r="B103" s="1" t="n">
        <v>44901</v>
      </c>
      <c r="C103" s="1" t="n">
        <v>46193</v>
      </c>
      <c r="D103" t="inlineStr">
        <is>
          <t>ÖSTERGÖTLANDS LÄN</t>
        </is>
      </c>
      <c r="E103" t="inlineStr">
        <is>
          <t>SÖDERKÖPING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38533-2025</t>
        </is>
      </c>
      <c r="B104" s="1" t="n">
        <v>45884</v>
      </c>
      <c r="C104" s="1" t="n">
        <v>46193</v>
      </c>
      <c r="D104" t="inlineStr">
        <is>
          <t>ÖSTERGÖTLANDS LÄN</t>
        </is>
      </c>
      <c r="E104" t="inlineStr">
        <is>
          <t>SÖDERKÖPING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29519-2023</t>
        </is>
      </c>
      <c r="B105" s="1" t="n">
        <v>45106</v>
      </c>
      <c r="C105" s="1" t="n">
        <v>46193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36734-2022</t>
        </is>
      </c>
      <c r="B106" s="1" t="n">
        <v>44805</v>
      </c>
      <c r="C106" s="1" t="n">
        <v>46193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57255-2024</t>
        </is>
      </c>
      <c r="B107" s="1" t="n">
        <v>45629</v>
      </c>
      <c r="C107" s="1" t="n">
        <v>46193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11673-2023</t>
        </is>
      </c>
      <c r="B108" s="1" t="n">
        <v>44994</v>
      </c>
      <c r="C108" s="1" t="n">
        <v>46193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42352-2023</t>
        </is>
      </c>
      <c r="B109" s="1" t="n">
        <v>45180</v>
      </c>
      <c r="C109" s="1" t="n">
        <v>46193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1247-2022</t>
        </is>
      </c>
      <c r="B110" s="1" t="n">
        <v>44572</v>
      </c>
      <c r="C110" s="1" t="n">
        <v>46193</v>
      </c>
      <c r="D110" t="inlineStr">
        <is>
          <t>ÖSTERGÖTLANDS LÄN</t>
        </is>
      </c>
      <c r="E110" t="inlineStr">
        <is>
          <t>SÖDERKÖPING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26432-2022</t>
        </is>
      </c>
      <c r="B111" s="1" t="n">
        <v>44736</v>
      </c>
      <c r="C111" s="1" t="n">
        <v>46193</v>
      </c>
      <c r="D111" t="inlineStr">
        <is>
          <t>ÖSTERGÖTLANDS LÄN</t>
        </is>
      </c>
      <c r="E111" t="inlineStr">
        <is>
          <t>SÖDERKÖPING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46193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2951-2024</t>
        </is>
      </c>
      <c r="B113" s="1" t="n">
        <v>45315</v>
      </c>
      <c r="C113" s="1" t="n">
        <v>46193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75-2024</t>
        </is>
      </c>
      <c r="B114" s="1" t="n">
        <v>45293</v>
      </c>
      <c r="C114" s="1" t="n">
        <v>46193</v>
      </c>
      <c r="D114" t="inlineStr">
        <is>
          <t>ÖSTERGÖTLANDS LÄN</t>
        </is>
      </c>
      <c r="E114" t="inlineStr">
        <is>
          <t>SÖDERKÖPING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45476-2023</t>
        </is>
      </c>
      <c r="B115" s="1" t="n">
        <v>45194</v>
      </c>
      <c r="C115" s="1" t="n">
        <v>46193</v>
      </c>
      <c r="D115" t="inlineStr">
        <is>
          <t>ÖSTERGÖTLANDS LÄN</t>
        </is>
      </c>
      <c r="E115" t="inlineStr">
        <is>
          <t>SÖDERKÖPING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356-2024</t>
        </is>
      </c>
      <c r="B116" s="1" t="n">
        <v>45295</v>
      </c>
      <c r="C116" s="1" t="n">
        <v>46193</v>
      </c>
      <c r="D116" t="inlineStr">
        <is>
          <t>ÖSTERGÖTLANDS LÄN</t>
        </is>
      </c>
      <c r="E116" t="inlineStr">
        <is>
          <t>SÖDERKÖPING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13606-2025</t>
        </is>
      </c>
      <c r="B117" s="1" t="n">
        <v>45736</v>
      </c>
      <c r="C117" s="1" t="n">
        <v>46193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Holmen skog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16286-2023</t>
        </is>
      </c>
      <c r="B118" s="1" t="n">
        <v>45028</v>
      </c>
      <c r="C118" s="1" t="n">
        <v>46193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50866-2023</t>
        </is>
      </c>
      <c r="B119" s="1" t="n">
        <v>45218</v>
      </c>
      <c r="C119" s="1" t="n">
        <v>46193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20251-2023</t>
        </is>
      </c>
      <c r="B120" s="1" t="n">
        <v>45055</v>
      </c>
      <c r="C120" s="1" t="n">
        <v>46193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20253-2023</t>
        </is>
      </c>
      <c r="B121" s="1" t="n">
        <v>45055</v>
      </c>
      <c r="C121" s="1" t="n">
        <v>46193</v>
      </c>
      <c r="D121" t="inlineStr">
        <is>
          <t>ÖSTERGÖTLANDS LÄN</t>
        </is>
      </c>
      <c r="E121" t="inlineStr">
        <is>
          <t>SÖDERKÖPING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44819-2023</t>
        </is>
      </c>
      <c r="B122" s="1" t="n">
        <v>45190</v>
      </c>
      <c r="C122" s="1" t="n">
        <v>46193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45483-2023</t>
        </is>
      </c>
      <c r="B123" s="1" t="n">
        <v>45194</v>
      </c>
      <c r="C123" s="1" t="n">
        <v>46193</v>
      </c>
      <c r="D123" t="inlineStr">
        <is>
          <t>ÖSTERGÖTLANDS LÄN</t>
        </is>
      </c>
      <c r="E123" t="inlineStr">
        <is>
          <t>SÖDERKÖPING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4498-2023</t>
        </is>
      </c>
      <c r="B124" s="1" t="n">
        <v>44956</v>
      </c>
      <c r="C124" s="1" t="n">
        <v>46193</v>
      </c>
      <c r="D124" t="inlineStr">
        <is>
          <t>ÖSTERGÖTLANDS LÄN</t>
        </is>
      </c>
      <c r="E124" t="inlineStr">
        <is>
          <t>SÖDERKÖPING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225-2023</t>
        </is>
      </c>
      <c r="B125" s="1" t="n">
        <v>44928</v>
      </c>
      <c r="C125" s="1" t="n">
        <v>46193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5615-2023</t>
        </is>
      </c>
      <c r="B126" s="1" t="n">
        <v>44958</v>
      </c>
      <c r="C126" s="1" t="n">
        <v>46193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34917-2022</t>
        </is>
      </c>
      <c r="B127" s="1" t="n">
        <v>44796</v>
      </c>
      <c r="C127" s="1" t="n">
        <v>46193</v>
      </c>
      <c r="D127" t="inlineStr">
        <is>
          <t>ÖSTERGÖTLANDS LÄN</t>
        </is>
      </c>
      <c r="E127" t="inlineStr">
        <is>
          <t>SÖDERKÖPING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30114-2024</t>
        </is>
      </c>
      <c r="B128" s="1" t="n">
        <v>45489</v>
      </c>
      <c r="C128" s="1" t="n">
        <v>46193</v>
      </c>
      <c r="D128" t="inlineStr">
        <is>
          <t>ÖSTERGÖTLANDS LÄN</t>
        </is>
      </c>
      <c r="E128" t="inlineStr">
        <is>
          <t>SÖDERKÖPING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61511-2023</t>
        </is>
      </c>
      <c r="B129" s="1" t="n">
        <v>45265</v>
      </c>
      <c r="C129" s="1" t="n">
        <v>46193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</v>
      </c>
      <c r="C130" s="1" t="n">
        <v>46193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4163-2022</t>
        </is>
      </c>
      <c r="B131" s="1" t="n">
        <v>44588</v>
      </c>
      <c r="C131" s="1" t="n">
        <v>46193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9734-2023</t>
        </is>
      </c>
      <c r="B132" s="1" t="n">
        <v>44984</v>
      </c>
      <c r="C132" s="1" t="n">
        <v>46193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9799-2023</t>
        </is>
      </c>
      <c r="B133" s="1" t="n">
        <v>44984</v>
      </c>
      <c r="C133" s="1" t="n">
        <v>46193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31415-2021</t>
        </is>
      </c>
      <c r="B134" s="1" t="n">
        <v>44368</v>
      </c>
      <c r="C134" s="1" t="n">
        <v>46193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39659-2025</t>
        </is>
      </c>
      <c r="B135" s="1" t="n">
        <v>45890</v>
      </c>
      <c r="C135" s="1" t="n">
        <v>46193</v>
      </c>
      <c r="D135" t="inlineStr">
        <is>
          <t>ÖSTERGÖTLANDS LÄN</t>
        </is>
      </c>
      <c r="E135" t="inlineStr">
        <is>
          <t>SÖDERKÖPING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49251-2024</t>
        </is>
      </c>
      <c r="B136" s="1" t="n">
        <v>45595</v>
      </c>
      <c r="C136" s="1" t="n">
        <v>46193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64211-2023</t>
        </is>
      </c>
      <c r="B137" s="1" t="n">
        <v>45279</v>
      </c>
      <c r="C137" s="1" t="n">
        <v>46193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63392-2021</t>
        </is>
      </c>
      <c r="B138" s="1" t="n">
        <v>44508</v>
      </c>
      <c r="C138" s="1" t="n">
        <v>46193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4491-2023</t>
        </is>
      </c>
      <c r="B139" s="1" t="n">
        <v>44956</v>
      </c>
      <c r="C139" s="1" t="n">
        <v>46193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11951-2024</t>
        </is>
      </c>
      <c r="B140" s="1" t="n">
        <v>45376</v>
      </c>
      <c r="C140" s="1" t="n">
        <v>46193</v>
      </c>
      <c r="D140" t="inlineStr">
        <is>
          <t>ÖSTERGÖTLANDS LÄN</t>
        </is>
      </c>
      <c r="E140" t="inlineStr">
        <is>
          <t>SÖDERKÖPING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410-2025</t>
        </is>
      </c>
      <c r="B141" s="1" t="n">
        <v>45663</v>
      </c>
      <c r="C141" s="1" t="n">
        <v>46193</v>
      </c>
      <c r="D141" t="inlineStr">
        <is>
          <t>ÖSTERGÖTLANDS LÄN</t>
        </is>
      </c>
      <c r="E141" t="inlineStr">
        <is>
          <t>SÖDERKÖPING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26058-2022</t>
        </is>
      </c>
      <c r="B142" s="1" t="n">
        <v>44734</v>
      </c>
      <c r="C142" s="1" t="n">
        <v>46193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</v>
      </c>
      <c r="C143" s="1" t="n">
        <v>46193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41363-2023</t>
        </is>
      </c>
      <c r="B144" s="1" t="n">
        <v>45174</v>
      </c>
      <c r="C144" s="1" t="n">
        <v>46193</v>
      </c>
      <c r="D144" t="inlineStr">
        <is>
          <t>ÖSTERGÖTLANDS LÄN</t>
        </is>
      </c>
      <c r="E144" t="inlineStr">
        <is>
          <t>SÖDERKÖPING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10369-2024</t>
        </is>
      </c>
      <c r="B145" s="1" t="n">
        <v>45365</v>
      </c>
      <c r="C145" s="1" t="n">
        <v>46193</v>
      </c>
      <c r="D145" t="inlineStr">
        <is>
          <t>ÖSTERGÖTLANDS LÄN</t>
        </is>
      </c>
      <c r="E145" t="inlineStr">
        <is>
          <t>SÖDERKÖPING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6350-2023</t>
        </is>
      </c>
      <c r="B146" s="1" t="n">
        <v>44965</v>
      </c>
      <c r="C146" s="1" t="n">
        <v>46193</v>
      </c>
      <c r="D146" t="inlineStr">
        <is>
          <t>ÖSTERGÖTLANDS LÄN</t>
        </is>
      </c>
      <c r="E146" t="inlineStr">
        <is>
          <t>SÖDERKÖPING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44174-2023</t>
        </is>
      </c>
      <c r="B147" s="1" t="n">
        <v>45188</v>
      </c>
      <c r="C147" s="1" t="n">
        <v>46193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35326-2022</t>
        </is>
      </c>
      <c r="B148" s="1" t="n">
        <v>44798</v>
      </c>
      <c r="C148" s="1" t="n">
        <v>46193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59876-2023</t>
        </is>
      </c>
      <c r="B149" s="1" t="n">
        <v>45257</v>
      </c>
      <c r="C149" s="1" t="n">
        <v>46193</v>
      </c>
      <c r="D149" t="inlineStr">
        <is>
          <t>ÖSTERGÖTLANDS LÄN</t>
        </is>
      </c>
      <c r="E149" t="inlineStr">
        <is>
          <t>SÖDERKÖPING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48555-2023</t>
        </is>
      </c>
      <c r="B150" s="1" t="n">
        <v>45208</v>
      </c>
      <c r="C150" s="1" t="n">
        <v>46193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39854-2025</t>
        </is>
      </c>
      <c r="B151" s="1" t="n">
        <v>45891</v>
      </c>
      <c r="C151" s="1" t="n">
        <v>46193</v>
      </c>
      <c r="D151" t="inlineStr">
        <is>
          <t>ÖSTERGÖTLANDS LÄN</t>
        </is>
      </c>
      <c r="E151" t="inlineStr">
        <is>
          <t>SÖDERKÖPING</t>
        </is>
      </c>
      <c r="G151" t="n">
        <v>26.6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42768-2025</t>
        </is>
      </c>
      <c r="B152" s="1" t="n">
        <v>45908</v>
      </c>
      <c r="C152" s="1" t="n">
        <v>46193</v>
      </c>
      <c r="D152" t="inlineStr">
        <is>
          <t>ÖSTERGÖTLANDS LÄN</t>
        </is>
      </c>
      <c r="E152" t="inlineStr">
        <is>
          <t>SÖDERKÖPING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60160-2021</t>
        </is>
      </c>
      <c r="B153" s="1" t="n">
        <v>44495</v>
      </c>
      <c r="C153" s="1" t="n">
        <v>46193</v>
      </c>
      <c r="D153" t="inlineStr">
        <is>
          <t>ÖSTERGÖTLANDS LÄN</t>
        </is>
      </c>
      <c r="E153" t="inlineStr">
        <is>
          <t>SÖDERKÖPING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20265-2026</t>
        </is>
      </c>
      <c r="B154" s="1" t="n">
        <v>46139</v>
      </c>
      <c r="C154" s="1" t="n">
        <v>46193</v>
      </c>
      <c r="D154" t="inlineStr">
        <is>
          <t>ÖSTERGÖTLANDS LÄN</t>
        </is>
      </c>
      <c r="E154" t="inlineStr">
        <is>
          <t>SÖDERKÖPING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5339-2025</t>
        </is>
      </c>
      <c r="B155" s="1" t="n">
        <v>45692</v>
      </c>
      <c r="C155" s="1" t="n">
        <v>46193</v>
      </c>
      <c r="D155" t="inlineStr">
        <is>
          <t>ÖSTERGÖTLANDS LÄN</t>
        </is>
      </c>
      <c r="E155" t="inlineStr">
        <is>
          <t>SÖDERKÖPING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4526-2025</t>
        </is>
      </c>
      <c r="B156" s="1" t="n">
        <v>45687</v>
      </c>
      <c r="C156" s="1" t="n">
        <v>46193</v>
      </c>
      <c r="D156" t="inlineStr">
        <is>
          <t>ÖSTERGÖTLANDS LÄN</t>
        </is>
      </c>
      <c r="E156" t="inlineStr">
        <is>
          <t>SÖDERKÖPING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7071-2025</t>
        </is>
      </c>
      <c r="B157" s="1" t="n">
        <v>45701</v>
      </c>
      <c r="C157" s="1" t="n">
        <v>46193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16417-2025</t>
        </is>
      </c>
      <c r="B158" s="1" t="n">
        <v>45751</v>
      </c>
      <c r="C158" s="1" t="n">
        <v>46193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42673-2023</t>
        </is>
      </c>
      <c r="B159" s="1" t="n">
        <v>45181</v>
      </c>
      <c r="C159" s="1" t="n">
        <v>46193</v>
      </c>
      <c r="D159" t="inlineStr">
        <is>
          <t>ÖSTERGÖTLANDS LÄN</t>
        </is>
      </c>
      <c r="E159" t="inlineStr">
        <is>
          <t>SÖDERKÖPING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1293-2025</t>
        </is>
      </c>
      <c r="B160" s="1" t="n">
        <v>45667</v>
      </c>
      <c r="C160" s="1" t="n">
        <v>46193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6615-2025</t>
        </is>
      </c>
      <c r="B161" s="1" t="n">
        <v>45700</v>
      </c>
      <c r="C161" s="1" t="n">
        <v>46193</v>
      </c>
      <c r="D161" t="inlineStr">
        <is>
          <t>ÖSTERGÖTLANDS LÄN</t>
        </is>
      </c>
      <c r="E161" t="inlineStr">
        <is>
          <t>SÖDERKÖPING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45518-2025</t>
        </is>
      </c>
      <c r="B162" s="1" t="n">
        <v>45922</v>
      </c>
      <c r="C162" s="1" t="n">
        <v>46193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20301-2026</t>
        </is>
      </c>
      <c r="B163" s="1" t="n">
        <v>46139</v>
      </c>
      <c r="C163" s="1" t="n">
        <v>46193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45648-2025</t>
        </is>
      </c>
      <c r="B164" s="1" t="n">
        <v>45923</v>
      </c>
      <c r="C164" s="1" t="n">
        <v>46193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45774-2025</t>
        </is>
      </c>
      <c r="B165" s="1" t="n">
        <v>45923</v>
      </c>
      <c r="C165" s="1" t="n">
        <v>46193</v>
      </c>
      <c r="D165" t="inlineStr">
        <is>
          <t>ÖSTERGÖTLANDS LÄN</t>
        </is>
      </c>
      <c r="E165" t="inlineStr">
        <is>
          <t>SÖDERKÖPING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44859-2023</t>
        </is>
      </c>
      <c r="B166" s="1" t="n">
        <v>45190</v>
      </c>
      <c r="C166" s="1" t="n">
        <v>46193</v>
      </c>
      <c r="D166" t="inlineStr">
        <is>
          <t>ÖSTERGÖTLANDS LÄN</t>
        </is>
      </c>
      <c r="E166" t="inlineStr">
        <is>
          <t>SÖDERKÖPING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34177-2021</t>
        </is>
      </c>
      <c r="B167" s="1" t="n">
        <v>44379</v>
      </c>
      <c r="C167" s="1" t="n">
        <v>46193</v>
      </c>
      <c r="D167" t="inlineStr">
        <is>
          <t>ÖSTERGÖTLANDS LÄN</t>
        </is>
      </c>
      <c r="E167" t="inlineStr">
        <is>
          <t>SÖDERKÖPING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4318-2023</t>
        </is>
      </c>
      <c r="B168" s="1" t="n">
        <v>44953</v>
      </c>
      <c r="C168" s="1" t="n">
        <v>46193</v>
      </c>
      <c r="D168" t="inlineStr">
        <is>
          <t>ÖSTERGÖTLANDS LÄN</t>
        </is>
      </c>
      <c r="E168" t="inlineStr">
        <is>
          <t>SÖDERKÖPING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46643-2025</t>
        </is>
      </c>
      <c r="B169" s="1" t="n">
        <v>45926</v>
      </c>
      <c r="C169" s="1" t="n">
        <v>46193</v>
      </c>
      <c r="D169" t="inlineStr">
        <is>
          <t>ÖSTERGÖTLANDS LÄN</t>
        </is>
      </c>
      <c r="E169" t="inlineStr">
        <is>
          <t>SÖDERKÖPING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20250-2026</t>
        </is>
      </c>
      <c r="B170" s="1" t="n">
        <v>46139</v>
      </c>
      <c r="C170" s="1" t="n">
        <v>46193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46725-2025</t>
        </is>
      </c>
      <c r="B171" s="1" t="n">
        <v>45926</v>
      </c>
      <c r="C171" s="1" t="n">
        <v>46193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</v>
      </c>
      <c r="C172" s="1" t="n">
        <v>46193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46649-2025</t>
        </is>
      </c>
      <c r="B173" s="1" t="n">
        <v>45926</v>
      </c>
      <c r="C173" s="1" t="n">
        <v>46193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46780-2025</t>
        </is>
      </c>
      <c r="B174" s="1" t="n">
        <v>45926</v>
      </c>
      <c r="C174" s="1" t="n">
        <v>46193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46733-2025</t>
        </is>
      </c>
      <c r="B175" s="1" t="n">
        <v>45926</v>
      </c>
      <c r="C175" s="1" t="n">
        <v>46193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46764-2025</t>
        </is>
      </c>
      <c r="B176" s="1" t="n">
        <v>45926</v>
      </c>
      <c r="C176" s="1" t="n">
        <v>46193</v>
      </c>
      <c r="D176" t="inlineStr">
        <is>
          <t>ÖSTERGÖTLANDS LÄN</t>
        </is>
      </c>
      <c r="E176" t="inlineStr">
        <is>
          <t>SÖDERKÖPING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20783-2023</t>
        </is>
      </c>
      <c r="B177" s="1" t="n">
        <v>45058</v>
      </c>
      <c r="C177" s="1" t="n">
        <v>46193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31305-2024</t>
        </is>
      </c>
      <c r="B178" s="1" t="n">
        <v>45504</v>
      </c>
      <c r="C178" s="1" t="n">
        <v>46193</v>
      </c>
      <c r="D178" t="inlineStr">
        <is>
          <t>ÖSTERGÖTLANDS LÄN</t>
        </is>
      </c>
      <c r="E178" t="inlineStr">
        <is>
          <t>SÖDERKÖPING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31314-2024</t>
        </is>
      </c>
      <c r="B179" s="1" t="n">
        <v>45504</v>
      </c>
      <c r="C179" s="1" t="n">
        <v>46193</v>
      </c>
      <c r="D179" t="inlineStr">
        <is>
          <t>ÖSTERGÖTLANDS LÄN</t>
        </is>
      </c>
      <c r="E179" t="inlineStr">
        <is>
          <t>SÖDERKÖPING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20221-2023</t>
        </is>
      </c>
      <c r="B180" s="1" t="n">
        <v>45055</v>
      </c>
      <c r="C180" s="1" t="n">
        <v>46193</v>
      </c>
      <c r="D180" t="inlineStr">
        <is>
          <t>ÖSTERGÖTLANDS LÄN</t>
        </is>
      </c>
      <c r="E180" t="inlineStr">
        <is>
          <t>SÖDERKÖPING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20310-2024</t>
        </is>
      </c>
      <c r="B181" s="1" t="n">
        <v>45435</v>
      </c>
      <c r="C181" s="1" t="n">
        <v>46193</v>
      </c>
      <c r="D181" t="inlineStr">
        <is>
          <t>ÖSTERGÖTLANDS LÄN</t>
        </is>
      </c>
      <c r="E181" t="inlineStr">
        <is>
          <t>SÖDERKÖPING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50241-2022</t>
        </is>
      </c>
      <c r="B182" s="1" t="n">
        <v>44865</v>
      </c>
      <c r="C182" s="1" t="n">
        <v>46193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5310-2025</t>
        </is>
      </c>
      <c r="B183" s="1" t="n">
        <v>45692</v>
      </c>
      <c r="C183" s="1" t="n">
        <v>46193</v>
      </c>
      <c r="D183" t="inlineStr">
        <is>
          <t>ÖSTERGÖTLANDS LÄN</t>
        </is>
      </c>
      <c r="E183" t="inlineStr">
        <is>
          <t>SÖDERKÖPING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51746-2023</t>
        </is>
      </c>
      <c r="B184" s="1" t="n">
        <v>45222</v>
      </c>
      <c r="C184" s="1" t="n">
        <v>46193</v>
      </c>
      <c r="D184" t="inlineStr">
        <is>
          <t>ÖSTERGÖTLANDS LÄN</t>
        </is>
      </c>
      <c r="E184" t="inlineStr">
        <is>
          <t>SÖDERKÖPING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43495-2023</t>
        </is>
      </c>
      <c r="B185" s="1" t="n">
        <v>45184</v>
      </c>
      <c r="C185" s="1" t="n">
        <v>46193</v>
      </c>
      <c r="D185" t="inlineStr">
        <is>
          <t>ÖSTERGÖTLANDS LÄN</t>
        </is>
      </c>
      <c r="E185" t="inlineStr">
        <is>
          <t>SÖDERKÖPING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50574-2024</t>
        </is>
      </c>
      <c r="B186" s="1" t="n">
        <v>45601</v>
      </c>
      <c r="C186" s="1" t="n">
        <v>46193</v>
      </c>
      <c r="D186" t="inlineStr">
        <is>
          <t>ÖSTERGÖTLANDS LÄN</t>
        </is>
      </c>
      <c r="E186" t="inlineStr">
        <is>
          <t>SÖDERKÖPING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31312-2024</t>
        </is>
      </c>
      <c r="B187" s="1" t="n">
        <v>45504</v>
      </c>
      <c r="C187" s="1" t="n">
        <v>46193</v>
      </c>
      <c r="D187" t="inlineStr">
        <is>
          <t>ÖSTERGÖTLANDS LÄN</t>
        </is>
      </c>
      <c r="E187" t="inlineStr">
        <is>
          <t>SÖDERKÖPING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20684-2026</t>
        </is>
      </c>
      <c r="B188" s="1" t="n">
        <v>46141</v>
      </c>
      <c r="C188" s="1" t="n">
        <v>46193</v>
      </c>
      <c r="D188" t="inlineStr">
        <is>
          <t>ÖSTERGÖTLANDS LÄN</t>
        </is>
      </c>
      <c r="E188" t="inlineStr">
        <is>
          <t>SÖDERKÖPING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22918-2025</t>
        </is>
      </c>
      <c r="B189" s="1" t="n">
        <v>45790</v>
      </c>
      <c r="C189" s="1" t="n">
        <v>46193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26554-2026</t>
        </is>
      </c>
      <c r="B190" s="1" t="n">
        <v>46183</v>
      </c>
      <c r="C190" s="1" t="n">
        <v>46193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9729-2023</t>
        </is>
      </c>
      <c r="B191" s="1" t="n">
        <v>44984</v>
      </c>
      <c r="C191" s="1" t="n">
        <v>46193</v>
      </c>
      <c r="D191" t="inlineStr">
        <is>
          <t>ÖSTERGÖTLANDS LÄN</t>
        </is>
      </c>
      <c r="E191" t="inlineStr">
        <is>
          <t>SÖDERKÖPING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31315-2024</t>
        </is>
      </c>
      <c r="B192" s="1" t="n">
        <v>45504</v>
      </c>
      <c r="C192" s="1" t="n">
        <v>46193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23451-2025</t>
        </is>
      </c>
      <c r="B193" s="1" t="n">
        <v>45792</v>
      </c>
      <c r="C193" s="1" t="n">
        <v>46193</v>
      </c>
      <c r="D193" t="inlineStr">
        <is>
          <t>ÖSTERGÖTLANDS LÄN</t>
        </is>
      </c>
      <c r="E193" t="inlineStr">
        <is>
          <t>SÖDERKÖPING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18794-2024</t>
        </is>
      </c>
      <c r="B194" s="1" t="n">
        <v>45426</v>
      </c>
      <c r="C194" s="1" t="n">
        <v>46193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26576-2026</t>
        </is>
      </c>
      <c r="B195" s="1" t="n">
        <v>46183</v>
      </c>
      <c r="C195" s="1" t="n">
        <v>46193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26582-2026</t>
        </is>
      </c>
      <c r="B196" s="1" t="n">
        <v>46183</v>
      </c>
      <c r="C196" s="1" t="n">
        <v>46193</v>
      </c>
      <c r="D196" t="inlineStr">
        <is>
          <t>ÖSTERGÖTLANDS LÄN</t>
        </is>
      </c>
      <c r="E196" t="inlineStr">
        <is>
          <t>SÖDERKÖPING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26595-2026</t>
        </is>
      </c>
      <c r="B197" s="1" t="n">
        <v>46183</v>
      </c>
      <c r="C197" s="1" t="n">
        <v>46193</v>
      </c>
      <c r="D197" t="inlineStr">
        <is>
          <t>ÖSTERGÖTLANDS LÄN</t>
        </is>
      </c>
      <c r="E197" t="inlineStr">
        <is>
          <t>SÖDERKÖPING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20703-2026</t>
        </is>
      </c>
      <c r="B198" s="1" t="n">
        <v>46141</v>
      </c>
      <c r="C198" s="1" t="n">
        <v>46193</v>
      </c>
      <c r="D198" t="inlineStr">
        <is>
          <t>ÖSTERGÖTLANDS LÄN</t>
        </is>
      </c>
      <c r="E198" t="inlineStr">
        <is>
          <t>SÖDERKÖPING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20705-2026</t>
        </is>
      </c>
      <c r="B199" s="1" t="n">
        <v>46141</v>
      </c>
      <c r="C199" s="1" t="n">
        <v>46193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59885-2023</t>
        </is>
      </c>
      <c r="B200" s="1" t="n">
        <v>45257</v>
      </c>
      <c r="C200" s="1" t="n">
        <v>46193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26439-2026</t>
        </is>
      </c>
      <c r="B201" s="1" t="n">
        <v>46183</v>
      </c>
      <c r="C201" s="1" t="n">
        <v>46193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24344-2025</t>
        </is>
      </c>
      <c r="B202" s="1" t="n">
        <v>45797</v>
      </c>
      <c r="C202" s="1" t="n">
        <v>46193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24355-2025</t>
        </is>
      </c>
      <c r="B203" s="1" t="n">
        <v>45797</v>
      </c>
      <c r="C203" s="1" t="n">
        <v>46193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20688-2026</t>
        </is>
      </c>
      <c r="B204" s="1" t="n">
        <v>46141</v>
      </c>
      <c r="C204" s="1" t="n">
        <v>46193</v>
      </c>
      <c r="D204" t="inlineStr">
        <is>
          <t>ÖSTERGÖTLANDS LÄN</t>
        </is>
      </c>
      <c r="E204" t="inlineStr">
        <is>
          <t>SÖDERKÖPING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13792-2025</t>
        </is>
      </c>
      <c r="B205" s="1" t="n">
        <v>45737</v>
      </c>
      <c r="C205" s="1" t="n">
        <v>46193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4224-2025</t>
        </is>
      </c>
      <c r="B206" s="1" t="n">
        <v>45685</v>
      </c>
      <c r="C206" s="1" t="n">
        <v>46193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16775-2025</t>
        </is>
      </c>
      <c r="B207" s="1" t="n">
        <v>45754</v>
      </c>
      <c r="C207" s="1" t="n">
        <v>46193</v>
      </c>
      <c r="D207" t="inlineStr">
        <is>
          <t>ÖSTERGÖTLANDS LÄN</t>
        </is>
      </c>
      <c r="E207" t="inlineStr">
        <is>
          <t>SÖDERKÖPING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20100-2025</t>
        </is>
      </c>
      <c r="B208" s="1" t="n">
        <v>45771</v>
      </c>
      <c r="C208" s="1" t="n">
        <v>46193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5300-2025</t>
        </is>
      </c>
      <c r="B209" s="1" t="n">
        <v>45692</v>
      </c>
      <c r="C209" s="1" t="n">
        <v>46193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34979-2025</t>
        </is>
      </c>
      <c r="B210" s="1" t="n">
        <v>45849</v>
      </c>
      <c r="C210" s="1" t="n">
        <v>46193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33735-2023</t>
        </is>
      </c>
      <c r="B211" s="1" t="n">
        <v>45119</v>
      </c>
      <c r="C211" s="1" t="n">
        <v>46193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26573-2026</t>
        </is>
      </c>
      <c r="B212" s="1" t="n">
        <v>46183</v>
      </c>
      <c r="C212" s="1" t="n">
        <v>46193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2033-2023</t>
        </is>
      </c>
      <c r="B213" s="1" t="n">
        <v>44939</v>
      </c>
      <c r="C213" s="1" t="n">
        <v>46193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66075-2021</t>
        </is>
      </c>
      <c r="B214" s="1" t="n">
        <v>44517</v>
      </c>
      <c r="C214" s="1" t="n">
        <v>46193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Kyrkan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26550-2026</t>
        </is>
      </c>
      <c r="B215" s="1" t="n">
        <v>46183</v>
      </c>
      <c r="C215" s="1" t="n">
        <v>46193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3925-2025</t>
        </is>
      </c>
      <c r="B216" s="1" t="n">
        <v>45684</v>
      </c>
      <c r="C216" s="1" t="n">
        <v>46193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6546-2023</t>
        </is>
      </c>
      <c r="B217" s="1" t="n">
        <v>44966</v>
      </c>
      <c r="C217" s="1" t="n">
        <v>46193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53874-2025</t>
        </is>
      </c>
      <c r="B218" s="1" t="n">
        <v>45961</v>
      </c>
      <c r="C218" s="1" t="n">
        <v>46193</v>
      </c>
      <c r="D218" t="inlineStr">
        <is>
          <t>ÖSTERGÖTLANDS LÄN</t>
        </is>
      </c>
      <c r="E218" t="inlineStr">
        <is>
          <t>SÖDERKÖPING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47419-2024</t>
        </is>
      </c>
      <c r="B219" s="1" t="n">
        <v>45586</v>
      </c>
      <c r="C219" s="1" t="n">
        <v>46193</v>
      </c>
      <c r="D219" t="inlineStr">
        <is>
          <t>ÖSTERGÖTLANDS LÄN</t>
        </is>
      </c>
      <c r="E219" t="inlineStr">
        <is>
          <t>SÖDERKÖPING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28482-2025</t>
        </is>
      </c>
      <c r="B220" s="1" t="n">
        <v>45817</v>
      </c>
      <c r="C220" s="1" t="n">
        <v>46193</v>
      </c>
      <c r="D220" t="inlineStr">
        <is>
          <t>ÖSTERGÖTLANDS LÄN</t>
        </is>
      </c>
      <c r="E220" t="inlineStr">
        <is>
          <t>SÖDERKÖPING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28487-2025</t>
        </is>
      </c>
      <c r="B221" s="1" t="n">
        <v>45817</v>
      </c>
      <c r="C221" s="1" t="n">
        <v>46193</v>
      </c>
      <c r="D221" t="inlineStr">
        <is>
          <t>ÖSTERGÖTLANDS LÄN</t>
        </is>
      </c>
      <c r="E221" t="inlineStr">
        <is>
          <t>SÖDERKÖPING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28350-2025</t>
        </is>
      </c>
      <c r="B222" s="1" t="n">
        <v>45818</v>
      </c>
      <c r="C222" s="1" t="n">
        <v>46193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14776-2025</t>
        </is>
      </c>
      <c r="B223" s="1" t="n">
        <v>45742</v>
      </c>
      <c r="C223" s="1" t="n">
        <v>46193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22512-2024</t>
        </is>
      </c>
      <c r="B224" s="1" t="n">
        <v>45447</v>
      </c>
      <c r="C224" s="1" t="n">
        <v>46193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Kommuner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56166-2025</t>
        </is>
      </c>
      <c r="B225" s="1" t="n">
        <v>45974</v>
      </c>
      <c r="C225" s="1" t="n">
        <v>46193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6535-2023</t>
        </is>
      </c>
      <c r="B226" s="1" t="n">
        <v>44966</v>
      </c>
      <c r="C226" s="1" t="n">
        <v>46193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56163-2025</t>
        </is>
      </c>
      <c r="B227" s="1" t="n">
        <v>45974</v>
      </c>
      <c r="C227" s="1" t="n">
        <v>46193</v>
      </c>
      <c r="D227" t="inlineStr">
        <is>
          <t>ÖSTERGÖTLANDS LÄN</t>
        </is>
      </c>
      <c r="E227" t="inlineStr">
        <is>
          <t>SÖDERKÖPING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50590-2024</t>
        </is>
      </c>
      <c r="B228" s="1" t="n">
        <v>45601</v>
      </c>
      <c r="C228" s="1" t="n">
        <v>46193</v>
      </c>
      <c r="D228" t="inlineStr">
        <is>
          <t>ÖSTERGÖTLANDS LÄN</t>
        </is>
      </c>
      <c r="E228" t="inlineStr">
        <is>
          <t>SÖDERKÖPING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23121-2025</t>
        </is>
      </c>
      <c r="B229" s="1" t="n">
        <v>45791</v>
      </c>
      <c r="C229" s="1" t="n">
        <v>46193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6035-2023</t>
        </is>
      </c>
      <c r="B230" s="1" t="n">
        <v>44964</v>
      </c>
      <c r="C230" s="1" t="n">
        <v>46193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42358-2023</t>
        </is>
      </c>
      <c r="B231" s="1" t="n">
        <v>45180</v>
      </c>
      <c r="C231" s="1" t="n">
        <v>46193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1614-2023</t>
        </is>
      </c>
      <c r="B232" s="1" t="n">
        <v>44937</v>
      </c>
      <c r="C232" s="1" t="n">
        <v>46193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41245-2023</t>
        </is>
      </c>
      <c r="B233" s="1" t="n">
        <v>45174</v>
      </c>
      <c r="C233" s="1" t="n">
        <v>46193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15034-2024</t>
        </is>
      </c>
      <c r="B234" s="1" t="n">
        <v>45399</v>
      </c>
      <c r="C234" s="1" t="n">
        <v>46193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58450-2025</t>
        </is>
      </c>
      <c r="B235" s="1" t="n">
        <v>45985</v>
      </c>
      <c r="C235" s="1" t="n">
        <v>46193</v>
      </c>
      <c r="D235" t="inlineStr">
        <is>
          <t>ÖSTERGÖTLANDS LÄN</t>
        </is>
      </c>
      <c r="E235" t="inlineStr">
        <is>
          <t>SÖDERKÖPING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34392-2025</t>
        </is>
      </c>
      <c r="B236" s="1" t="n">
        <v>45846</v>
      </c>
      <c r="C236" s="1" t="n">
        <v>46193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34404-2025</t>
        </is>
      </c>
      <c r="B237" s="1" t="n">
        <v>45846</v>
      </c>
      <c r="C237" s="1" t="n">
        <v>46193</v>
      </c>
      <c r="D237" t="inlineStr">
        <is>
          <t>ÖSTERGÖTLANDS LÄN</t>
        </is>
      </c>
      <c r="E237" t="inlineStr">
        <is>
          <t>SÖDERKÖPING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12708-2024</t>
        </is>
      </c>
      <c r="B238" s="1" t="n">
        <v>45379</v>
      </c>
      <c r="C238" s="1" t="n">
        <v>46193</v>
      </c>
      <c r="D238" t="inlineStr">
        <is>
          <t>ÖSTERGÖTLANDS LÄN</t>
        </is>
      </c>
      <c r="E238" t="inlineStr">
        <is>
          <t>SÖDERKÖPING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34969-2025</t>
        </is>
      </c>
      <c r="B239" s="1" t="n">
        <v>45849</v>
      </c>
      <c r="C239" s="1" t="n">
        <v>46193</v>
      </c>
      <c r="D239" t="inlineStr">
        <is>
          <t>ÖSTERGÖTLANDS LÄN</t>
        </is>
      </c>
      <c r="E239" t="inlineStr">
        <is>
          <t>SÖDERKÖPING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34971-2025</t>
        </is>
      </c>
      <c r="B240" s="1" t="n">
        <v>45849</v>
      </c>
      <c r="C240" s="1" t="n">
        <v>46193</v>
      </c>
      <c r="D240" t="inlineStr">
        <is>
          <t>ÖSTERGÖTLANDS LÄN</t>
        </is>
      </c>
      <c r="E240" t="inlineStr">
        <is>
          <t>SÖDERKÖPING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47428-2024</t>
        </is>
      </c>
      <c r="B241" s="1" t="n">
        <v>45586</v>
      </c>
      <c r="C241" s="1" t="n">
        <v>46193</v>
      </c>
      <c r="D241" t="inlineStr">
        <is>
          <t>ÖSTERGÖTLANDS LÄN</t>
        </is>
      </c>
      <c r="E241" t="inlineStr">
        <is>
          <t>SÖDERKÖPING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49569-2022</t>
        </is>
      </c>
      <c r="B242" s="1" t="n">
        <v>44862</v>
      </c>
      <c r="C242" s="1" t="n">
        <v>46193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38595-2022</t>
        </is>
      </c>
      <c r="B243" s="1" t="n">
        <v>44813</v>
      </c>
      <c r="C243" s="1" t="n">
        <v>46193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61814-2025</t>
        </is>
      </c>
      <c r="B244" s="1" t="n">
        <v>46003</v>
      </c>
      <c r="C244" s="1" t="n">
        <v>46193</v>
      </c>
      <c r="D244" t="inlineStr">
        <is>
          <t>ÖSTERGÖTLANDS LÄN</t>
        </is>
      </c>
      <c r="E244" t="inlineStr">
        <is>
          <t>SÖDERKÖPING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61813-2025</t>
        </is>
      </c>
      <c r="B245" s="1" t="n">
        <v>46003</v>
      </c>
      <c r="C245" s="1" t="n">
        <v>46193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61816-2025</t>
        </is>
      </c>
      <c r="B246" s="1" t="n">
        <v>46003</v>
      </c>
      <c r="C246" s="1" t="n">
        <v>46193</v>
      </c>
      <c r="D246" t="inlineStr">
        <is>
          <t>ÖSTERGÖTLANDS LÄN</t>
        </is>
      </c>
      <c r="E246" t="inlineStr">
        <is>
          <t>SÖDERKÖPING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61817-2025</t>
        </is>
      </c>
      <c r="B247" s="1" t="n">
        <v>46003</v>
      </c>
      <c r="C247" s="1" t="n">
        <v>46193</v>
      </c>
      <c r="D247" t="inlineStr">
        <is>
          <t>ÖSTERGÖTLANDS LÄN</t>
        </is>
      </c>
      <c r="E247" t="inlineStr">
        <is>
          <t>SÖDERKÖPING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45044-2023</t>
        </is>
      </c>
      <c r="B248" s="1" t="n">
        <v>45191</v>
      </c>
      <c r="C248" s="1" t="n">
        <v>46193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</v>
      </c>
      <c r="C249" s="1" t="n">
        <v>46193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13865-2025</t>
        </is>
      </c>
      <c r="B250" s="1" t="n">
        <v>45737</v>
      </c>
      <c r="C250" s="1" t="n">
        <v>46193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13889-2025</t>
        </is>
      </c>
      <c r="B251" s="1" t="n">
        <v>45737</v>
      </c>
      <c r="C251" s="1" t="n">
        <v>46193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13920-2025</t>
        </is>
      </c>
      <c r="B252" s="1" t="n">
        <v>45737</v>
      </c>
      <c r="C252" s="1" t="n">
        <v>46193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50588-2024</t>
        </is>
      </c>
      <c r="B253" s="1" t="n">
        <v>45601</v>
      </c>
      <c r="C253" s="1" t="n">
        <v>46193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37343-2025</t>
        </is>
      </c>
      <c r="B254" s="1" t="n">
        <v>45876</v>
      </c>
      <c r="C254" s="1" t="n">
        <v>46193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62730-2025</t>
        </is>
      </c>
      <c r="B255" s="1" t="n">
        <v>46008</v>
      </c>
      <c r="C255" s="1" t="n">
        <v>46193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37345-2025</t>
        </is>
      </c>
      <c r="B256" s="1" t="n">
        <v>45876</v>
      </c>
      <c r="C256" s="1" t="n">
        <v>46193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37692-2023</t>
        </is>
      </c>
      <c r="B257" s="1" t="n">
        <v>45159</v>
      </c>
      <c r="C257" s="1" t="n">
        <v>46193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42753-2023</t>
        </is>
      </c>
      <c r="B258" s="1" t="n">
        <v>45181</v>
      </c>
      <c r="C258" s="1" t="n">
        <v>46193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63236-2025</t>
        </is>
      </c>
      <c r="B259" s="1" t="n">
        <v>46010</v>
      </c>
      <c r="C259" s="1" t="n">
        <v>46193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27464-2023</t>
        </is>
      </c>
      <c r="B260" s="1" t="n">
        <v>45097</v>
      </c>
      <c r="C260" s="1" t="n">
        <v>46193</v>
      </c>
      <c r="D260" t="inlineStr">
        <is>
          <t>ÖSTERGÖTLANDS LÄN</t>
        </is>
      </c>
      <c r="E260" t="inlineStr">
        <is>
          <t>SÖDERKÖPING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1399-2025</t>
        </is>
      </c>
      <c r="B261" s="1" t="n">
        <v>45667</v>
      </c>
      <c r="C261" s="1" t="n">
        <v>46193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26912-2023</t>
        </is>
      </c>
      <c r="B262" s="1" t="n">
        <v>45093</v>
      </c>
      <c r="C262" s="1" t="n">
        <v>46193</v>
      </c>
      <c r="D262" t="inlineStr">
        <is>
          <t>ÖSTERGÖTLANDS LÄN</t>
        </is>
      </c>
      <c r="E262" t="inlineStr">
        <is>
          <t>SÖDERKÖPING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21903-2026</t>
        </is>
      </c>
      <c r="B263" s="1" t="n">
        <v>46150</v>
      </c>
      <c r="C263" s="1" t="n">
        <v>46193</v>
      </c>
      <c r="D263" t="inlineStr">
        <is>
          <t>ÖSTERGÖTLANDS LÄN</t>
        </is>
      </c>
      <c r="E263" t="inlineStr">
        <is>
          <t>SÖDERKÖPING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21898-2026</t>
        </is>
      </c>
      <c r="B264" s="1" t="n">
        <v>46150</v>
      </c>
      <c r="C264" s="1" t="n">
        <v>46193</v>
      </c>
      <c r="D264" t="inlineStr">
        <is>
          <t>ÖSTERGÖTLANDS LÄN</t>
        </is>
      </c>
      <c r="E264" t="inlineStr">
        <is>
          <t>SÖDERKÖPING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20254-2023</t>
        </is>
      </c>
      <c r="B265" s="1" t="n">
        <v>45055</v>
      </c>
      <c r="C265" s="1" t="n">
        <v>46193</v>
      </c>
      <c r="D265" t="inlineStr">
        <is>
          <t>ÖSTERGÖTLANDS LÄN</t>
        </is>
      </c>
      <c r="E265" t="inlineStr">
        <is>
          <t>SÖDERKÖPING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26594-2023</t>
        </is>
      </c>
      <c r="B266" s="1" t="n">
        <v>45092</v>
      </c>
      <c r="C266" s="1" t="n">
        <v>46193</v>
      </c>
      <c r="D266" t="inlineStr">
        <is>
          <t>ÖSTERGÖTLANDS LÄN</t>
        </is>
      </c>
      <c r="E266" t="inlineStr">
        <is>
          <t>SÖDERKÖPING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3913-2025</t>
        </is>
      </c>
      <c r="B267" s="1" t="n">
        <v>45684</v>
      </c>
      <c r="C267" s="1" t="n">
        <v>46193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50040-2023</t>
        </is>
      </c>
      <c r="B268" s="1" t="n">
        <v>45215</v>
      </c>
      <c r="C268" s="1" t="n">
        <v>46193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33736-2023</t>
        </is>
      </c>
      <c r="B269" s="1" t="n">
        <v>45119</v>
      </c>
      <c r="C269" s="1" t="n">
        <v>46193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44834-2023</t>
        </is>
      </c>
      <c r="B270" s="1" t="n">
        <v>45190</v>
      </c>
      <c r="C270" s="1" t="n">
        <v>46193</v>
      </c>
      <c r="D270" t="inlineStr">
        <is>
          <t>ÖSTERGÖTLANDS LÄN</t>
        </is>
      </c>
      <c r="E270" t="inlineStr">
        <is>
          <t>SÖDERKÖPING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5072-2022</t>
        </is>
      </c>
      <c r="B271" s="1" t="n">
        <v>44593</v>
      </c>
      <c r="C271" s="1" t="n">
        <v>46193</v>
      </c>
      <c r="D271" t="inlineStr">
        <is>
          <t>ÖSTERGÖTLANDS LÄN</t>
        </is>
      </c>
      <c r="E271" t="inlineStr">
        <is>
          <t>SÖDERKÖPING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7062-2025</t>
        </is>
      </c>
      <c r="B272" s="1" t="n">
        <v>45701</v>
      </c>
      <c r="C272" s="1" t="n">
        <v>46193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9746-2022</t>
        </is>
      </c>
      <c r="B273" s="1" t="n">
        <v>44618</v>
      </c>
      <c r="C273" s="1" t="n">
        <v>46193</v>
      </c>
      <c r="D273" t="inlineStr">
        <is>
          <t>ÖSTERGÖTLANDS LÄN</t>
        </is>
      </c>
      <c r="E273" t="inlineStr">
        <is>
          <t>SÖDERKÖPING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21901-2022</t>
        </is>
      </c>
      <c r="B274" s="1" t="n">
        <v>44711</v>
      </c>
      <c r="C274" s="1" t="n">
        <v>46193</v>
      </c>
      <c r="D274" t="inlineStr">
        <is>
          <t>ÖSTERGÖTLANDS LÄN</t>
        </is>
      </c>
      <c r="E274" t="inlineStr">
        <is>
          <t>SÖDERKÖPING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49367-2023</t>
        </is>
      </c>
      <c r="B275" s="1" t="n">
        <v>45211</v>
      </c>
      <c r="C275" s="1" t="n">
        <v>46193</v>
      </c>
      <c r="D275" t="inlineStr">
        <is>
          <t>ÖSTERGÖTLANDS LÄN</t>
        </is>
      </c>
      <c r="E275" t="inlineStr">
        <is>
          <t>SÖDERKÖPING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21893-2026</t>
        </is>
      </c>
      <c r="B276" s="1" t="n">
        <v>46150</v>
      </c>
      <c r="C276" s="1" t="n">
        <v>46193</v>
      </c>
      <c r="D276" t="inlineStr">
        <is>
          <t>ÖSTERGÖTLANDS LÄN</t>
        </is>
      </c>
      <c r="E276" t="inlineStr">
        <is>
          <t>SÖDERKÖPING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46417-2023</t>
        </is>
      </c>
      <c r="B277" s="1" t="n">
        <v>45197</v>
      </c>
      <c r="C277" s="1" t="n">
        <v>46193</v>
      </c>
      <c r="D277" t="inlineStr">
        <is>
          <t>ÖSTERGÖTLANDS LÄN</t>
        </is>
      </c>
      <c r="E277" t="inlineStr">
        <is>
          <t>SÖDERKÖPING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3919-2025</t>
        </is>
      </c>
      <c r="B278" s="1" t="n">
        <v>45684</v>
      </c>
      <c r="C278" s="1" t="n">
        <v>46193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41958-2023</t>
        </is>
      </c>
      <c r="B279" s="1" t="n">
        <v>45174</v>
      </c>
      <c r="C279" s="1" t="n">
        <v>46193</v>
      </c>
      <c r="D279" t="inlineStr">
        <is>
          <t>ÖSTERGÖTLANDS LÄN</t>
        </is>
      </c>
      <c r="E279" t="inlineStr">
        <is>
          <t>SÖDERKÖPING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55772-2023</t>
        </is>
      </c>
      <c r="B280" s="1" t="n">
        <v>45239</v>
      </c>
      <c r="C280" s="1" t="n">
        <v>46193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58372-2023</t>
        </is>
      </c>
      <c r="B281" s="1" t="n">
        <v>45250</v>
      </c>
      <c r="C281" s="1" t="n">
        <v>46193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4709-2025</t>
        </is>
      </c>
      <c r="B282" s="1" t="n">
        <v>45688</v>
      </c>
      <c r="C282" s="1" t="n">
        <v>46193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58398-2023</t>
        </is>
      </c>
      <c r="B283" s="1" t="n">
        <v>45250</v>
      </c>
      <c r="C283" s="1" t="n">
        <v>46193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43891-2023</t>
        </is>
      </c>
      <c r="B284" s="1" t="n">
        <v>45187</v>
      </c>
      <c r="C284" s="1" t="n">
        <v>46193</v>
      </c>
      <c r="D284" t="inlineStr">
        <is>
          <t>ÖSTERGÖTLANDS LÄN</t>
        </is>
      </c>
      <c r="E284" t="inlineStr">
        <is>
          <t>SÖDERKÖPING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40357-2023</t>
        </is>
      </c>
      <c r="B285" s="1" t="n">
        <v>45169</v>
      </c>
      <c r="C285" s="1" t="n">
        <v>46193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5412-2026</t>
        </is>
      </c>
      <c r="B286" s="1" t="n">
        <v>46050</v>
      </c>
      <c r="C286" s="1" t="n">
        <v>46193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Kyrkan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37684-2023</t>
        </is>
      </c>
      <c r="B287" s="1" t="n">
        <v>45159</v>
      </c>
      <c r="C287" s="1" t="n">
        <v>46193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37687-2023</t>
        </is>
      </c>
      <c r="B288" s="1" t="n">
        <v>45159</v>
      </c>
      <c r="C288" s="1" t="n">
        <v>46193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6256-2026</t>
        </is>
      </c>
      <c r="B289" s="1" t="n">
        <v>46055</v>
      </c>
      <c r="C289" s="1" t="n">
        <v>46193</v>
      </c>
      <c r="D289" t="inlineStr">
        <is>
          <t>ÖSTERGÖTLANDS LÄN</t>
        </is>
      </c>
      <c r="E289" t="inlineStr">
        <is>
          <t>SÖDERKÖPING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6224-2026</t>
        </is>
      </c>
      <c r="B290" s="1" t="n">
        <v>46055</v>
      </c>
      <c r="C290" s="1" t="n">
        <v>46193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6240-2026</t>
        </is>
      </c>
      <c r="B291" s="1" t="n">
        <v>46055</v>
      </c>
      <c r="C291" s="1" t="n">
        <v>46193</v>
      </c>
      <c r="D291" t="inlineStr">
        <is>
          <t>ÖSTERGÖTLANDS LÄN</t>
        </is>
      </c>
      <c r="E291" t="inlineStr">
        <is>
          <t>SÖDERKÖPING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6669-2026</t>
        </is>
      </c>
      <c r="B292" s="1" t="n">
        <v>46056</v>
      </c>
      <c r="C292" s="1" t="n">
        <v>46193</v>
      </c>
      <c r="D292" t="inlineStr">
        <is>
          <t>ÖSTERGÖTLANDS LÄN</t>
        </is>
      </c>
      <c r="E292" t="inlineStr">
        <is>
          <t>SÖDERKÖPING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6205-2026</t>
        </is>
      </c>
      <c r="B293" s="1" t="n">
        <v>46055</v>
      </c>
      <c r="C293" s="1" t="n">
        <v>46193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29660-2022</t>
        </is>
      </c>
      <c r="B294" s="1" t="n">
        <v>44754</v>
      </c>
      <c r="C294" s="1" t="n">
        <v>46193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458-2024</t>
        </is>
      </c>
      <c r="B295" s="1" t="n">
        <v>45297</v>
      </c>
      <c r="C295" s="1" t="n">
        <v>46193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7852-2026</t>
        </is>
      </c>
      <c r="B296" s="1" t="n">
        <v>46062</v>
      </c>
      <c r="C296" s="1" t="n">
        <v>46193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7847-2026</t>
        </is>
      </c>
      <c r="B297" s="1" t="n">
        <v>46061</v>
      </c>
      <c r="C297" s="1" t="n">
        <v>46193</v>
      </c>
      <c r="D297" t="inlineStr">
        <is>
          <t>ÖSTERGÖTLANDS LÄN</t>
        </is>
      </c>
      <c r="E297" t="inlineStr">
        <is>
          <t>SÖDERKÖPING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7440-2026</t>
        </is>
      </c>
      <c r="B298" s="1" t="n">
        <v>46059</v>
      </c>
      <c r="C298" s="1" t="n">
        <v>46193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59471-2023</t>
        </is>
      </c>
      <c r="B299" s="1" t="n">
        <v>45254</v>
      </c>
      <c r="C299" s="1" t="n">
        <v>46193</v>
      </c>
      <c r="D299" t="inlineStr">
        <is>
          <t>ÖSTERGÖTLANDS LÄN</t>
        </is>
      </c>
      <c r="E299" t="inlineStr">
        <is>
          <t>SÖDERKÖPING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7822-2026</t>
        </is>
      </c>
      <c r="B300" s="1" t="n">
        <v>46062</v>
      </c>
      <c r="C300" s="1" t="n">
        <v>46193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7830-2026</t>
        </is>
      </c>
      <c r="B301" s="1" t="n">
        <v>46061</v>
      </c>
      <c r="C301" s="1" t="n">
        <v>46193</v>
      </c>
      <c r="D301" t="inlineStr">
        <is>
          <t>ÖSTERGÖTLANDS LÄN</t>
        </is>
      </c>
      <c r="E301" t="inlineStr">
        <is>
          <t>SÖDERKÖPING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7836-2026</t>
        </is>
      </c>
      <c r="B302" s="1" t="n">
        <v>46062</v>
      </c>
      <c r="C302" s="1" t="n">
        <v>46193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7452-2026</t>
        </is>
      </c>
      <c r="B303" s="1" t="n">
        <v>46059</v>
      </c>
      <c r="C303" s="1" t="n">
        <v>46193</v>
      </c>
      <c r="D303" t="inlineStr">
        <is>
          <t>ÖSTERGÖTLANDS LÄN</t>
        </is>
      </c>
      <c r="E303" t="inlineStr">
        <is>
          <t>SÖDERKÖPING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61514-2023</t>
        </is>
      </c>
      <c r="B304" s="1" t="n">
        <v>45265</v>
      </c>
      <c r="C304" s="1" t="n">
        <v>46193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13625-2025</t>
        </is>
      </c>
      <c r="B305" s="1" t="n">
        <v>45736</v>
      </c>
      <c r="C305" s="1" t="n">
        <v>46193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9052-2026</t>
        </is>
      </c>
      <c r="B306" s="1" t="n">
        <v>46069</v>
      </c>
      <c r="C306" s="1" t="n">
        <v>46193</v>
      </c>
      <c r="D306" t="inlineStr">
        <is>
          <t>ÖSTERGÖTLANDS LÄN</t>
        </is>
      </c>
      <c r="E306" t="inlineStr">
        <is>
          <t>SÖDERKÖPING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54787-2022</t>
        </is>
      </c>
      <c r="B307" s="1" t="n">
        <v>44883</v>
      </c>
      <c r="C307" s="1" t="n">
        <v>46193</v>
      </c>
      <c r="D307" t="inlineStr">
        <is>
          <t>ÖSTERGÖTLANDS LÄN</t>
        </is>
      </c>
      <c r="E307" t="inlineStr">
        <is>
          <t>SÖDERKÖPING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43889-2023</t>
        </is>
      </c>
      <c r="B308" s="1" t="n">
        <v>45187</v>
      </c>
      <c r="C308" s="1" t="n">
        <v>46193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31628-2022</t>
        </is>
      </c>
      <c r="B309" s="1" t="n">
        <v>44775</v>
      </c>
      <c r="C309" s="1" t="n">
        <v>46193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46422-2023</t>
        </is>
      </c>
      <c r="B310" s="1" t="n">
        <v>45197</v>
      </c>
      <c r="C310" s="1" t="n">
        <v>46193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11005-2026</t>
        </is>
      </c>
      <c r="B311" s="1" t="n">
        <v>46079</v>
      </c>
      <c r="C311" s="1" t="n">
        <v>46193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Kyrkan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45549-2023</t>
        </is>
      </c>
      <c r="B312" s="1" t="n">
        <v>45194</v>
      </c>
      <c r="C312" s="1" t="n">
        <v>46193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6419-2023</t>
        </is>
      </c>
      <c r="B313" s="1" t="n">
        <v>44965</v>
      </c>
      <c r="C313" s="1" t="n">
        <v>46193</v>
      </c>
      <c r="D313" t="inlineStr">
        <is>
          <t>ÖSTERGÖTLANDS LÄN</t>
        </is>
      </c>
      <c r="E313" t="inlineStr">
        <is>
          <t>SÖDERKÖPING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58227-2022</t>
        </is>
      </c>
      <c r="B314" s="1" t="n">
        <v>44901</v>
      </c>
      <c r="C314" s="1" t="n">
        <v>46193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11616-2026</t>
        </is>
      </c>
      <c r="B315" s="1" t="n">
        <v>46084</v>
      </c>
      <c r="C315" s="1" t="n">
        <v>46193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11619-2026</t>
        </is>
      </c>
      <c r="B316" s="1" t="n">
        <v>46084</v>
      </c>
      <c r="C316" s="1" t="n">
        <v>46193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50873-2023</t>
        </is>
      </c>
      <c r="B317" s="1" t="n">
        <v>45218</v>
      </c>
      <c r="C317" s="1" t="n">
        <v>46193</v>
      </c>
      <c r="D317" t="inlineStr">
        <is>
          <t>ÖSTERGÖTLANDS LÄN</t>
        </is>
      </c>
      <c r="E317" t="inlineStr">
        <is>
          <t>SÖDERKÖPING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69425-2021</t>
        </is>
      </c>
      <c r="B318" s="1" t="n">
        <v>44531</v>
      </c>
      <c r="C318" s="1" t="n">
        <v>46193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64825-2023</t>
        </is>
      </c>
      <c r="B319" s="1" t="n">
        <v>45282</v>
      </c>
      <c r="C319" s="1" t="n">
        <v>46193</v>
      </c>
      <c r="D319" t="inlineStr">
        <is>
          <t>ÖSTERGÖTLANDS LÄN</t>
        </is>
      </c>
      <c r="E319" t="inlineStr">
        <is>
          <t>SÖDERKÖPING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45457-2023</t>
        </is>
      </c>
      <c r="B320" s="1" t="n">
        <v>45194</v>
      </c>
      <c r="C320" s="1" t="n">
        <v>46193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3786-2023</t>
        </is>
      </c>
      <c r="B321" s="1" t="n">
        <v>44951</v>
      </c>
      <c r="C321" s="1" t="n">
        <v>46193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50051-2023</t>
        </is>
      </c>
      <c r="B322" s="1" t="n">
        <v>45215</v>
      </c>
      <c r="C322" s="1" t="n">
        <v>46193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14552-2026</t>
        </is>
      </c>
      <c r="B323" s="1" t="n">
        <v>46100</v>
      </c>
      <c r="C323" s="1" t="n">
        <v>46193</v>
      </c>
      <c r="D323" t="inlineStr">
        <is>
          <t>ÖSTERGÖTLANDS LÄN</t>
        </is>
      </c>
      <c r="E323" t="inlineStr">
        <is>
          <t>SÖDERKÖPING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14777-2026</t>
        </is>
      </c>
      <c r="B324" s="1" t="n">
        <v>46101</v>
      </c>
      <c r="C324" s="1" t="n">
        <v>46193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14776-2026</t>
        </is>
      </c>
      <c r="B325" s="1" t="n">
        <v>46101</v>
      </c>
      <c r="C325" s="1" t="n">
        <v>46193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15462-2026</t>
        </is>
      </c>
      <c r="B326" s="1" t="n">
        <v>46106</v>
      </c>
      <c r="C326" s="1" t="n">
        <v>46193</v>
      </c>
      <c r="D326" t="inlineStr">
        <is>
          <t>ÖSTERGÖTLANDS LÄN</t>
        </is>
      </c>
      <c r="E326" t="inlineStr">
        <is>
          <t>SÖDERKÖPING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22208-2026</t>
        </is>
      </c>
      <c r="B327" s="1" t="n">
        <v>46153</v>
      </c>
      <c r="C327" s="1" t="n">
        <v>46193</v>
      </c>
      <c r="D327" t="inlineStr">
        <is>
          <t>ÖSTERGÖTLANDS LÄN</t>
        </is>
      </c>
      <c r="E327" t="inlineStr">
        <is>
          <t>SÖDERKÖPING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16232-2026</t>
        </is>
      </c>
      <c r="B328" s="1" t="n">
        <v>46111</v>
      </c>
      <c r="C328" s="1" t="n">
        <v>46193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16246-2026</t>
        </is>
      </c>
      <c r="B329" s="1" t="n">
        <v>46111</v>
      </c>
      <c r="C329" s="1" t="n">
        <v>46193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16248-2026</t>
        </is>
      </c>
      <c r="B330" s="1" t="n">
        <v>46111</v>
      </c>
      <c r="C330" s="1" t="n">
        <v>46193</v>
      </c>
      <c r="D330" t="inlineStr">
        <is>
          <t>ÖSTERGÖTLANDS LÄN</t>
        </is>
      </c>
      <c r="E330" t="inlineStr">
        <is>
          <t>SÖDERKÖPING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16254-2026</t>
        </is>
      </c>
      <c r="B331" s="1" t="n">
        <v>46111</v>
      </c>
      <c r="C331" s="1" t="n">
        <v>46193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16319-2026</t>
        </is>
      </c>
      <c r="B332" s="1" t="n">
        <v>46111</v>
      </c>
      <c r="C332" s="1" t="n">
        <v>46193</v>
      </c>
      <c r="D332" t="inlineStr">
        <is>
          <t>ÖSTERGÖTLANDS LÄN</t>
        </is>
      </c>
      <c r="E332" t="inlineStr">
        <is>
          <t>SÖDERKÖPING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22471-2026</t>
        </is>
      </c>
      <c r="B333" s="1" t="n">
        <v>46155</v>
      </c>
      <c r="C333" s="1" t="n">
        <v>46193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22482-2026</t>
        </is>
      </c>
      <c r="B334" s="1" t="n">
        <v>46155</v>
      </c>
      <c r="C334" s="1" t="n">
        <v>46193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23120-2026</t>
        </is>
      </c>
      <c r="B335" s="1" t="n">
        <v>46161</v>
      </c>
      <c r="C335" s="1" t="n">
        <v>46193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23518-2026</t>
        </is>
      </c>
      <c r="B336" s="1" t="n">
        <v>46163</v>
      </c>
      <c r="C336" s="1" t="n">
        <v>46193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Allmännings- och besparingsskogar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23785-2026</t>
        </is>
      </c>
      <c r="B337" s="1" t="n">
        <v>46164</v>
      </c>
      <c r="C337" s="1" t="n">
        <v>46193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24726-2026</t>
        </is>
      </c>
      <c r="B338" s="1" t="n">
        <v>46171</v>
      </c>
      <c r="C338" s="1" t="n">
        <v>46193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24875-2026</t>
        </is>
      </c>
      <c r="B339" s="1" t="n">
        <v>46174</v>
      </c>
      <c r="C339" s="1" t="n">
        <v>46193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24690-2026</t>
        </is>
      </c>
      <c r="B340" s="1" t="n">
        <v>46171</v>
      </c>
      <c r="C340" s="1" t="n">
        <v>46193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46742-2025</t>
        </is>
      </c>
      <c r="B341" s="1" t="n">
        <v>45926</v>
      </c>
      <c r="C341" s="1" t="n">
        <v>46193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46781-2025</t>
        </is>
      </c>
      <c r="B342" s="1" t="n">
        <v>45926</v>
      </c>
      <c r="C342" s="1" t="n">
        <v>46193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19974-2026</t>
        </is>
      </c>
      <c r="B343" s="1" t="n">
        <v>46136</v>
      </c>
      <c r="C343" s="1" t="n">
        <v>46193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13055-2025</t>
        </is>
      </c>
      <c r="B344" s="1" t="n">
        <v>45734</v>
      </c>
      <c r="C344" s="1" t="n">
        <v>46193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19661-2026</t>
        </is>
      </c>
      <c r="B345" s="1" t="n">
        <v>46134</v>
      </c>
      <c r="C345" s="1" t="n">
        <v>46193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17357-2025</t>
        </is>
      </c>
      <c r="B346" s="1" t="n">
        <v>45756</v>
      </c>
      <c r="C346" s="1" t="n">
        <v>46193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47368-2021</t>
        </is>
      </c>
      <c r="B347" s="1" t="n">
        <v>44447</v>
      </c>
      <c r="C347" s="1" t="n">
        <v>46193</v>
      </c>
      <c r="D347" t="inlineStr">
        <is>
          <t>ÖSTERGÖTLANDS LÄN</t>
        </is>
      </c>
      <c r="E347" t="inlineStr">
        <is>
          <t>SÖDERKÖPING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32641-2025</t>
        </is>
      </c>
      <c r="B348" s="1" t="n">
        <v>45838</v>
      </c>
      <c r="C348" s="1" t="n">
        <v>46193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21416-2025</t>
        </is>
      </c>
      <c r="B349" s="1" t="n">
        <v>45782</v>
      </c>
      <c r="C349" s="1" t="n">
        <v>46193</v>
      </c>
      <c r="D349" t="inlineStr">
        <is>
          <t>ÖSTERGÖTLANDS LÄN</t>
        </is>
      </c>
      <c r="E349" t="inlineStr">
        <is>
          <t>SÖDERKÖPING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20258-2026</t>
        </is>
      </c>
      <c r="B350" s="1" t="n">
        <v>46139</v>
      </c>
      <c r="C350" s="1" t="n">
        <v>46193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20262-2026</t>
        </is>
      </c>
      <c r="B351" s="1" t="n">
        <v>46139</v>
      </c>
      <c r="C351" s="1" t="n">
        <v>46193</v>
      </c>
      <c r="D351" t="inlineStr">
        <is>
          <t>ÖSTERGÖTLANDS LÄN</t>
        </is>
      </c>
      <c r="E351" t="inlineStr">
        <is>
          <t>SÖDERKÖPING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2026-06-20T00:47:18Z</dcterms:created>
  <dcterms:modified xmlns:dcterms="http://purl.org/dc/terms/" xmlns:xsi="http://www.w3.org/2001/XMLSchema-instance" xsi:type="dcterms:W3CDTF">2026-06-20T00:47:18Z</dcterms:modified>
</cp:coreProperties>
</file>