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46286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46286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46286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46286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46286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46286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46286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46286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46286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46286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46286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46286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46286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46286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46286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46286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46286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46286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46286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46286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46286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46286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46286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46286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46286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46286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46286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46286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46286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46286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46286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46286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46286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A 38709-2026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46283</v>
      </c>
      <c r="E35" s="1" t="n">
        <v>46286</v>
      </c>
      <c r="F35" t="inlineStr">
        <is>
          <t>ÖSTERGÖTLANDS LÄN</t>
        </is>
      </c>
      <c r="G35" t="inlineStr">
        <is>
          <t>SÖDERKÖPING</t>
        </is>
      </c>
      <c r="H35" t="inlineStr">
        <is>
          <t>Allmännings- och besparingsskogar</t>
        </is>
      </c>
      <c r="I35" t="n">
        <v>9.5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HYPERLINK("https://klasma.github.io/Logging_0582/artfynd/A 38709-2026 artfynd.xlsx", "A 38709-2026")</f>
        <v/>
      </c>
      <c r="X35">
        <f>HYPERLINK("https://klasma.github.io/Logging_0582/kartor/A 38709-2026 karta.png", "A 38709-2026")</f>
        <v/>
      </c>
      <c r="Y35">
        <f>HYPERLINK("https://klasma.github.io/Logging_0582/kartor_geotiff/A 38709-2026 georefererad karta.tif", "A 38709-2026")</f>
        <v/>
      </c>
      <c r="AA35">
        <f>HYPERLINK("https://klasma.github.io/Logging_0582/klagomål/A 38709-2026 FSC-klagomål.docx", "A 38709-2026")</f>
        <v/>
      </c>
      <c r="AB35">
        <f>HYPERLINK("https://klasma.github.io/Logging_0582/klagomålsmail/A 38709-2026 FSC-klagomål mail.docx", "A 38709-2026")</f>
        <v/>
      </c>
      <c r="AC35">
        <f>HYPERLINK("https://klasma.github.io/Logging_0582/tillsyn/A 38709-2026 tillsynsbegäran.docx", "A 38709-2026")</f>
        <v/>
      </c>
      <c r="AD35">
        <f>HYPERLINK("https://klasma.github.io/Logging_0582/tillsynsmail/A 38709-2026 tillsynsbegäran mail.docx", "A 38709-2026")</f>
        <v/>
      </c>
    </row>
    <row r="36" ht="15" customHeight="1">
      <c r="A36" t="inlineStr">
        <is>
          <t>S 466-2026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46073</v>
      </c>
      <c r="E36" s="1" t="n">
        <v>46286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Guldlockmossa</t>
        </is>
      </c>
      <c r="W36">
        <f>HYPERLINK("https://klasma.github.io/Logging_0582/artfynd/S 466-2026 artfynd.xlsx", "S 466-2026")</f>
        <v/>
      </c>
      <c r="X36">
        <f>HYPERLINK("https://klasma.github.io/Logging_0582/kartor/S 466-2026 karta.png", "S 466-2026")</f>
        <v/>
      </c>
      <c r="Y36">
        <f>HYPERLINK("https://klasma.github.io/Logging_0582/kartor_geotiff/S 466-2026 georefererad karta.tif", "S 466-2026")</f>
        <v/>
      </c>
      <c r="AA36">
        <f>HYPERLINK("https://klasma.github.io/Logging_0582/klagomål/S 466-2026 FSC-klagomål.docx", "S 466-2026")</f>
        <v/>
      </c>
      <c r="AB36">
        <f>HYPERLINK("https://klasma.github.io/Logging_0582/klagomålsmail/S 466-2026 FSC-klagomål mail.docx", "S 466-2026")</f>
        <v/>
      </c>
      <c r="AC36">
        <f>HYPERLINK("https://klasma.github.io/Logging_0582/tillsyn/S 466-2026 tillsynsbegäran.docx", "S 466-2026")</f>
        <v/>
      </c>
      <c r="AD36">
        <f>HYPERLINK("https://klasma.github.io/Logging_0582/tillsynsmail/S 466-2026 tillsynsbegäran mail.docx", "S 466-2026")</f>
        <v/>
      </c>
    </row>
    <row r="37" ht="15" customHeight="1">
      <c r="A37" t="inlineStr">
        <is>
          <t>S 1539-2026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46168</v>
      </c>
      <c r="E37" s="1" t="n">
        <v>46286</v>
      </c>
      <c r="F37" t="inlineStr">
        <is>
          <t>ÖSTERGÖTLANDS LÄN</t>
        </is>
      </c>
      <c r="G37" t="inlineStr">
        <is>
          <t>SÖDERKÖPING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HYPERLINK("https://klasma.github.io/Logging_0582/artfynd/S 1539-2026 artfynd.xlsx", "S 1539-2026")</f>
        <v/>
      </c>
      <c r="X37">
        <f>HYPERLINK("https://klasma.github.io/Logging_0582/kartor/S 1539-2026 karta.png", "S 1539-2026")</f>
        <v/>
      </c>
      <c r="Y37">
        <f>HYPERLINK("https://klasma.github.io/Logging_0582/kartor_geotiff/S 1539-2026 georefererad karta.tif", "S 1539-2026")</f>
        <v/>
      </c>
      <c r="AA37">
        <f>HYPERLINK("https://klasma.github.io/Logging_0582/klagomål/S 1539-2026 FSC-klagomål.docx", "S 1539-2026")</f>
        <v/>
      </c>
      <c r="AB37">
        <f>HYPERLINK("https://klasma.github.io/Logging_0582/klagomålsmail/S 1539-2026 FSC-klagomål mail.docx", "S 1539-2026")</f>
        <v/>
      </c>
      <c r="AC37">
        <f>HYPERLINK("https://klasma.github.io/Logging_0582/tillsyn/S 1539-2026 tillsynsbegäran.docx", "S 1539-2026")</f>
        <v/>
      </c>
      <c r="AD37">
        <f>HYPERLINK("https://klasma.github.io/Logging_0582/tillsynsmail/S 1539-2026 tillsynsbegäran mail.docx", "S 1539-2026")</f>
        <v/>
      </c>
    </row>
    <row r="38" ht="15" customHeight="1">
      <c r="A38" t="inlineStr">
        <is>
          <t>A 49824-2022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46286</v>
      </c>
      <c r="F38" t="inlineStr">
        <is>
          <t>ÖSTERGÖTLANDS LÄN</t>
        </is>
      </c>
      <c r="G38" t="inlineStr">
        <is>
          <t>SÖDERKÖPING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44890</v>
      </c>
      <c r="E39" s="1" t="n">
        <v>46286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46286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46286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46286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46286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46286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46286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46286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46286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46286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46286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46286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46286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46286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46286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46286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46286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46286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46286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46286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46286</v>
      </c>
      <c r="F59" t="inlineStr">
        <is>
          <t>ÖSTERGÖTLANDS LÄN</t>
        </is>
      </c>
      <c r="G59" t="inlineStr">
        <is>
          <t>SÖDERKÖPING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46286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46286</v>
      </c>
      <c r="F61" t="inlineStr">
        <is>
          <t>ÖSTERGÖTLANDS LÄN</t>
        </is>
      </c>
      <c r="G61" t="inlineStr">
        <is>
          <t>SÖDERKÖPING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53891-2021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46286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71426-2021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46286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46286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46286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46286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46286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46286</v>
      </c>
      <c r="F68" t="inlineStr">
        <is>
          <t>ÖSTERGÖTLANDS LÄN</t>
        </is>
      </c>
      <c r="G68" t="inlineStr">
        <is>
          <t>SÖDERKÖPING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46286</v>
      </c>
      <c r="F69" t="inlineStr">
        <is>
          <t>ÖSTERGÖTLANDS LÄN</t>
        </is>
      </c>
      <c r="G69" t="inlineStr">
        <is>
          <t>SÖDERKÖPING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45667</v>
      </c>
      <c r="E70" s="1" t="n">
        <v>46286</v>
      </c>
      <c r="F70" t="inlineStr">
        <is>
          <t>ÖSTERGÖTLANDS LÄN</t>
        </is>
      </c>
      <c r="G70" t="inlineStr">
        <is>
          <t>SÖDERKÖPING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46286</v>
      </c>
      <c r="F71" t="inlineStr">
        <is>
          <t>ÖSTERGÖTLANDS LÄN</t>
        </is>
      </c>
      <c r="G71" t="inlineStr">
        <is>
          <t>SÖDERKÖPING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45097</v>
      </c>
      <c r="E72" s="1" t="n">
        <v>46286</v>
      </c>
      <c r="F72" t="inlineStr">
        <is>
          <t>ÖSTERGÖTLANDS LÄN</t>
        </is>
      </c>
      <c r="G72" t="inlineStr">
        <is>
          <t>SÖDERKÖPING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46286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46286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Holmen skog AB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60160-2021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46286</v>
      </c>
      <c r="F75" t="inlineStr">
        <is>
          <t>ÖSTERGÖTLANDS LÄN</t>
        </is>
      </c>
      <c r="G75" t="inlineStr">
        <is>
          <t>SÖDERKÖPING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20221-2023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45055</v>
      </c>
      <c r="E76" s="1" t="n">
        <v>46286</v>
      </c>
      <c r="F76" t="inlineStr">
        <is>
          <t>ÖSTERGÖTLANDS LÄN</t>
        </is>
      </c>
      <c r="G76" t="inlineStr">
        <is>
          <t>SÖDERKÖPING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46286</v>
      </c>
      <c r="F77" t="inlineStr">
        <is>
          <t>ÖSTERGÖTLANDS LÄN</t>
        </is>
      </c>
      <c r="G77" t="inlineStr">
        <is>
          <t>SÖDERKÖPING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44736</v>
      </c>
      <c r="E78" s="1" t="n">
        <v>46286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45028</v>
      </c>
      <c r="E79" s="1" t="n">
        <v>46286</v>
      </c>
      <c r="F79" t="inlineStr">
        <is>
          <t>ÖSTERGÖTLANDS LÄN</t>
        </is>
      </c>
      <c r="G79" t="inlineStr">
        <is>
          <t>SÖDERKÖPING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45663</v>
      </c>
      <c r="E80" s="1" t="n">
        <v>46286</v>
      </c>
      <c r="F80" t="inlineStr">
        <is>
          <t>ÖSTERGÖTLANDS LÄN</t>
        </is>
      </c>
      <c r="G80" t="inlineStr">
        <is>
          <t>SÖDERKÖPING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45190</v>
      </c>
      <c r="E81" s="1" t="n">
        <v>46286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25790-2023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45090</v>
      </c>
      <c r="E82" s="1" t="n">
        <v>46286</v>
      </c>
      <c r="F82" t="inlineStr">
        <is>
          <t>ÖSTERGÖTLANDS LÄN</t>
        </is>
      </c>
      <c r="G82" t="inlineStr">
        <is>
          <t>SÖDERKÖPING</t>
        </is>
      </c>
      <c r="I82" t="n">
        <v>7.9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45245</v>
      </c>
      <c r="E83" s="1" t="n">
        <v>46286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46286</v>
      </c>
      <c r="F84" t="inlineStr">
        <is>
          <t>ÖSTERGÖTLANDS LÄN</t>
        </is>
      </c>
      <c r="G84" t="inlineStr">
        <is>
          <t>SÖDERKÖPING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16775-2025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46286</v>
      </c>
      <c r="F85" t="inlineStr">
        <is>
          <t>ÖSTERGÖTLANDS LÄN</t>
        </is>
      </c>
      <c r="G85" t="inlineStr">
        <is>
          <t>SÖDERKÖPING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44979</v>
      </c>
      <c r="E86" s="1" t="n">
        <v>46286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Allmännings- och besparingsskogar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37694-2023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45159</v>
      </c>
      <c r="E87" s="1" t="n">
        <v>46286</v>
      </c>
      <c r="F87" t="inlineStr">
        <is>
          <t>ÖSTERGÖTLANDS LÄN</t>
        </is>
      </c>
      <c r="G87" t="inlineStr">
        <is>
          <t>SÖDERKÖPING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46286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45736</v>
      </c>
      <c r="E89" s="1" t="n">
        <v>46286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Holmen skog AB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46286</v>
      </c>
      <c r="F90" t="inlineStr">
        <is>
          <t>ÖSTERGÖTLANDS LÄN</t>
        </is>
      </c>
      <c r="G90" t="inlineStr">
        <is>
          <t>SÖDERKÖPING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46286</v>
      </c>
      <c r="F91" t="inlineStr">
        <is>
          <t>ÖSTERGÖTLANDS LÄN</t>
        </is>
      </c>
      <c r="G91" t="inlineStr">
        <is>
          <t>SÖDERKÖPING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46286</v>
      </c>
      <c r="F92" t="inlineStr">
        <is>
          <t>ÖSTERGÖTLANDS LÄN</t>
        </is>
      </c>
      <c r="G92" t="inlineStr">
        <is>
          <t>SÖDERKÖPING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44588</v>
      </c>
      <c r="E93" s="1" t="n">
        <v>46286</v>
      </c>
      <c r="F93" t="inlineStr">
        <is>
          <t>ÖSTERGÖTLANDS LÄN</t>
        </is>
      </c>
      <c r="G93" t="inlineStr">
        <is>
          <t>SÖDERKÖPING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44754</v>
      </c>
      <c r="E94" s="1" t="n">
        <v>46286</v>
      </c>
      <c r="F94" t="inlineStr">
        <is>
          <t>ÖSTERGÖTLANDS LÄN</t>
        </is>
      </c>
      <c r="G94" t="inlineStr">
        <is>
          <t>SÖDERKÖPING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45190</v>
      </c>
      <c r="E95" s="1" t="n">
        <v>46286</v>
      </c>
      <c r="F95" t="inlineStr">
        <is>
          <t>ÖSTERGÖTLANDS LÄN</t>
        </is>
      </c>
      <c r="G95" t="inlineStr">
        <is>
          <t>SÖDERKÖPING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46286</v>
      </c>
      <c r="F96" t="inlineStr">
        <is>
          <t>ÖSTERGÖTLANDS LÄN</t>
        </is>
      </c>
      <c r="G96" t="inlineStr">
        <is>
          <t>SÖDERKÖPING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46286</v>
      </c>
      <c r="F97" t="inlineStr">
        <is>
          <t>ÖSTERGÖTLANDS LÄN</t>
        </is>
      </c>
      <c r="G97" t="inlineStr">
        <is>
          <t>SÖDERKÖPING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46286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Holmen skog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46286</v>
      </c>
      <c r="F99" t="inlineStr">
        <is>
          <t>ÖSTERGÖTLANDS LÄN</t>
        </is>
      </c>
      <c r="G99" t="inlineStr">
        <is>
          <t>SÖDERKÖPING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46286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44775</v>
      </c>
      <c r="E101" s="1" t="n">
        <v>46286</v>
      </c>
      <c r="F101" t="inlineStr">
        <is>
          <t>ÖSTERGÖTLANDS LÄN</t>
        </is>
      </c>
      <c r="G101" t="inlineStr">
        <is>
          <t>SÖDERKÖPING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64211-2023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46286</v>
      </c>
      <c r="F102" t="inlineStr">
        <is>
          <t>ÖSTERGÖTLANDS LÄN</t>
        </is>
      </c>
      <c r="G102" t="inlineStr">
        <is>
          <t>SÖDERKÖPING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46286</v>
      </c>
      <c r="F103" t="inlineStr">
        <is>
          <t>ÖSTERGÖTLANDS LÄN</t>
        </is>
      </c>
      <c r="G103" t="inlineStr">
        <is>
          <t>SÖDERKÖPING</t>
        </is>
      </c>
      <c r="H103" t="inlineStr">
        <is>
          <t>Allmännings- och besparingsskogar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46286</v>
      </c>
      <c r="F104" t="inlineStr">
        <is>
          <t>ÖSTERGÖTLANDS LÄN</t>
        </is>
      </c>
      <c r="G104" t="inlineStr">
        <is>
          <t>SÖDERKÖPING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46286</v>
      </c>
      <c r="F105" t="inlineStr">
        <is>
          <t>ÖSTERGÖTLANDS LÄN</t>
        </is>
      </c>
      <c r="G105" t="inlineStr">
        <is>
          <t>SÖDERKÖPING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44965</v>
      </c>
      <c r="E106" s="1" t="n">
        <v>46286</v>
      </c>
      <c r="F106" t="inlineStr">
        <is>
          <t>ÖSTERGÖTLANDS LÄN</t>
        </is>
      </c>
      <c r="G106" t="inlineStr">
        <is>
          <t>SÖDERKÖPING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46286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Holmen skog AB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46286</v>
      </c>
      <c r="F108" t="inlineStr">
        <is>
          <t>ÖSTERGÖTLANDS LÄN</t>
        </is>
      </c>
      <c r="G108" t="inlineStr">
        <is>
          <t>SÖDERKÖPING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26912-2023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46286</v>
      </c>
      <c r="F109" t="inlineStr">
        <is>
          <t>ÖSTERGÖTLANDS LÄN</t>
        </is>
      </c>
      <c r="G109" t="inlineStr">
        <is>
          <t>SÖDERKÖPING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45106</v>
      </c>
      <c r="E110" s="1" t="n">
        <v>46286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46139</v>
      </c>
      <c r="E111" s="1" t="n">
        <v>46286</v>
      </c>
      <c r="F111" t="inlineStr">
        <is>
          <t>ÖSTERGÖTLANDS LÄN</t>
        </is>
      </c>
      <c r="G111" t="inlineStr">
        <is>
          <t>SÖDERKÖPING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46286</v>
      </c>
      <c r="F112" t="inlineStr">
        <is>
          <t>ÖSTERGÖTLANDS LÄN</t>
        </is>
      </c>
      <c r="G112" t="inlineStr">
        <is>
          <t>SÖDERKÖPING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46286</v>
      </c>
      <c r="F113" t="inlineStr">
        <is>
          <t>ÖSTERGÖTLANDS LÄN</t>
        </is>
      </c>
      <c r="G113" t="inlineStr">
        <is>
          <t>SÖDERKÖPING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46286</v>
      </c>
      <c r="F114" t="inlineStr">
        <is>
          <t>ÖSTERGÖTLANDS LÄN</t>
        </is>
      </c>
      <c r="G114" t="inlineStr">
        <is>
          <t>SÖDERKÖPING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46286</v>
      </c>
      <c r="F115" t="inlineStr">
        <is>
          <t>ÖSTERGÖTLANDS LÄN</t>
        </is>
      </c>
      <c r="G115" t="inlineStr">
        <is>
          <t>SÖDERKÖPING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46286</v>
      </c>
      <c r="F116" t="inlineStr">
        <is>
          <t>ÖSTERGÖTLANDS LÄN</t>
        </is>
      </c>
      <c r="G116" t="inlineStr">
        <is>
          <t>SÖDERKÖPING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46286</v>
      </c>
      <c r="F117" t="inlineStr">
        <is>
          <t>ÖSTERGÖTLANDS LÄN</t>
        </is>
      </c>
      <c r="G117" t="inlineStr">
        <is>
          <t>SÖDERKÖPING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46286</v>
      </c>
      <c r="F118" t="inlineStr">
        <is>
          <t>ÖSTERGÖTLANDS LÄN</t>
        </is>
      </c>
      <c r="G118" t="inlineStr">
        <is>
          <t>SÖDERKÖPING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46286</v>
      </c>
      <c r="F119" t="inlineStr">
        <is>
          <t>ÖSTERGÖTLANDS LÄN</t>
        </is>
      </c>
      <c r="G119" t="inlineStr">
        <is>
          <t>SÖDERKÖPING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46286</v>
      </c>
      <c r="F120" t="inlineStr">
        <is>
          <t>ÖSTERGÖTLANDS LÄN</t>
        </is>
      </c>
      <c r="G120" t="inlineStr">
        <is>
          <t>SÖDERKÖPING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44798</v>
      </c>
      <c r="E121" s="1" t="n">
        <v>46286</v>
      </c>
      <c r="F121" t="inlineStr">
        <is>
          <t>ÖSTERGÖTLANDS LÄN</t>
        </is>
      </c>
      <c r="G121" t="inlineStr">
        <is>
          <t>SÖDERKÖPING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46286</v>
      </c>
      <c r="F122" t="inlineStr">
        <is>
          <t>ÖSTERGÖTLANDS LÄN</t>
        </is>
      </c>
      <c r="G122" t="inlineStr">
        <is>
          <t>SÖDERKÖPING</t>
        </is>
      </c>
      <c r="I122" t="n">
        <v>26.6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45742</v>
      </c>
      <c r="E123" s="1" t="n">
        <v>46286</v>
      </c>
      <c r="F123" t="inlineStr">
        <is>
          <t>ÖSTERGÖTLANDS LÄN</t>
        </is>
      </c>
      <c r="G123" t="inlineStr">
        <is>
          <t>SÖDERKÖPING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46286</v>
      </c>
      <c r="F124" t="inlineStr">
        <is>
          <t>ÖSTERGÖTLANDS LÄN</t>
        </is>
      </c>
      <c r="G124" t="inlineStr">
        <is>
          <t>SÖDERKÖPING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45376</v>
      </c>
      <c r="E125" s="1" t="n">
        <v>46286</v>
      </c>
      <c r="F125" t="inlineStr">
        <is>
          <t>ÖSTERGÖTLANDS LÄN</t>
        </is>
      </c>
      <c r="G125" t="inlineStr">
        <is>
          <t>SÖDERKÖPING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46286</v>
      </c>
      <c r="F126" t="inlineStr">
        <is>
          <t>ÖSTERGÖTLANDS LÄN</t>
        </is>
      </c>
      <c r="G126" t="inlineStr">
        <is>
          <t>SÖDERKÖPING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46286</v>
      </c>
      <c r="F127" t="inlineStr">
        <is>
          <t>ÖSTERGÖTLANDS LÄN</t>
        </is>
      </c>
      <c r="G127" t="inlineStr">
        <is>
          <t>SÖDERKÖPING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46139</v>
      </c>
      <c r="E128" s="1" t="n">
        <v>46286</v>
      </c>
      <c r="F128" t="inlineStr">
        <is>
          <t>ÖSTERGÖTLANDS LÄN</t>
        </is>
      </c>
      <c r="G128" t="inlineStr">
        <is>
          <t>SÖDERKÖPING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46286</v>
      </c>
      <c r="F129" t="inlineStr">
        <is>
          <t>ÖSTERGÖTLANDS LÄN</t>
        </is>
      </c>
      <c r="G129" t="inlineStr">
        <is>
          <t>SÖDERKÖPING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46286</v>
      </c>
      <c r="F130" t="inlineStr">
        <is>
          <t>ÖSTERGÖTLANDS LÄN</t>
        </is>
      </c>
      <c r="G130" t="inlineStr">
        <is>
          <t>SÖDERKÖPING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40351-2023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46286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46286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46286</v>
      </c>
      <c r="F133" t="inlineStr">
        <is>
          <t>ÖSTERGÖTLANDS LÄN</t>
        </is>
      </c>
      <c r="G133" t="inlineStr">
        <is>
          <t>SÖDERKÖPING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46286</v>
      </c>
      <c r="F134" t="inlineStr">
        <is>
          <t>ÖSTERGÖTLANDS LÄN</t>
        </is>
      </c>
      <c r="G134" t="inlineStr">
        <is>
          <t>SÖDERKÖPING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20688-2026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46286</v>
      </c>
      <c r="F135" t="inlineStr">
        <is>
          <t>ÖSTERGÖTLANDS LÄN</t>
        </is>
      </c>
      <c r="G135" t="inlineStr">
        <is>
          <t>SÖDERKÖPING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45504</v>
      </c>
      <c r="E136" s="1" t="n">
        <v>46286</v>
      </c>
      <c r="F136" t="inlineStr">
        <is>
          <t>ÖSTERGÖTLANDS LÄN</t>
        </is>
      </c>
      <c r="G136" t="inlineStr">
        <is>
          <t>SÖDERKÖPING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46286</v>
      </c>
      <c r="F137" t="inlineStr">
        <is>
          <t>ÖSTERGÖTLANDS LÄN</t>
        </is>
      </c>
      <c r="G137" t="inlineStr">
        <is>
          <t>SÖDERKÖPING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46286</v>
      </c>
      <c r="F138" t="inlineStr">
        <is>
          <t>ÖSTERGÖTLANDS LÄN</t>
        </is>
      </c>
      <c r="G138" t="inlineStr">
        <is>
          <t>SÖDERKÖPING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46286</v>
      </c>
      <c r="F139" t="inlineStr">
        <is>
          <t>ÖSTERGÖTLANDS LÄN</t>
        </is>
      </c>
      <c r="G139" t="inlineStr">
        <is>
          <t>SÖDERKÖPING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46286</v>
      </c>
      <c r="F140" t="inlineStr">
        <is>
          <t>ÖSTERGÖTLANDS LÄN</t>
        </is>
      </c>
      <c r="G140" t="inlineStr">
        <is>
          <t>SÖDERKÖPING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46286</v>
      </c>
      <c r="F141" t="inlineStr">
        <is>
          <t>ÖSTERGÖTLANDS LÄN</t>
        </is>
      </c>
      <c r="G141" t="inlineStr">
        <is>
          <t>SÖDERKÖPING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44861</v>
      </c>
      <c r="E142" s="1" t="n">
        <v>46286</v>
      </c>
      <c r="F142" t="inlineStr">
        <is>
          <t>ÖSTERGÖTLANDS LÄN</t>
        </is>
      </c>
      <c r="G142" t="inlineStr">
        <is>
          <t>SÖDERKÖPING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45923</v>
      </c>
      <c r="E143" s="1" t="n">
        <v>46286</v>
      </c>
      <c r="F143" t="inlineStr">
        <is>
          <t>ÖSTERGÖTLANDS LÄN</t>
        </is>
      </c>
      <c r="G143" t="inlineStr">
        <is>
          <t>SÖDERKÖPING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46286</v>
      </c>
      <c r="F144" t="inlineStr">
        <is>
          <t>ÖSTERGÖTLANDS LÄN</t>
        </is>
      </c>
      <c r="G144" t="inlineStr">
        <is>
          <t>SÖDERKÖPING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46286</v>
      </c>
      <c r="F145" t="inlineStr">
        <is>
          <t>ÖSTERGÖTLANDS LÄN</t>
        </is>
      </c>
      <c r="G145" t="inlineStr">
        <is>
          <t>SÖDERKÖPING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46286</v>
      </c>
      <c r="F146" t="inlineStr">
        <is>
          <t>ÖSTERGÖTLANDS LÄN</t>
        </is>
      </c>
      <c r="G146" t="inlineStr">
        <is>
          <t>SÖDERKÖPING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46286</v>
      </c>
      <c r="F147" t="inlineStr">
        <is>
          <t>ÖSTERGÖTLANDS LÄN</t>
        </is>
      </c>
      <c r="G147" t="inlineStr">
        <is>
          <t>SÖDERKÖPING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46286</v>
      </c>
      <c r="F148" t="inlineStr">
        <is>
          <t>ÖSTERGÖTLANDS LÄN</t>
        </is>
      </c>
      <c r="G148" t="inlineStr">
        <is>
          <t>SÖDERKÖPING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44796</v>
      </c>
      <c r="E149" s="1" t="n">
        <v>46286</v>
      </c>
      <c r="F149" t="inlineStr">
        <is>
          <t>ÖSTERGÖTLANDS LÄN</t>
        </is>
      </c>
      <c r="G149" t="inlineStr">
        <is>
          <t>SÖDERKÖPING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46286</v>
      </c>
      <c r="F150" t="inlineStr">
        <is>
          <t>ÖSTERGÖTLANDS LÄN</t>
        </is>
      </c>
      <c r="G150" t="inlineStr">
        <is>
          <t>SÖDERKÖPING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46286</v>
      </c>
      <c r="F151" t="inlineStr">
        <is>
          <t>ÖSTERGÖTLANDS LÄN</t>
        </is>
      </c>
      <c r="G151" t="inlineStr">
        <is>
          <t>SÖDERKÖPING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45399</v>
      </c>
      <c r="E152" s="1" t="n">
        <v>46286</v>
      </c>
      <c r="F152" t="inlineStr">
        <is>
          <t>ÖSTERGÖTLANDS LÄN</t>
        </is>
      </c>
      <c r="G152" t="inlineStr">
        <is>
          <t>SÖDERKÖPING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46286</v>
      </c>
      <c r="F153" t="inlineStr">
        <is>
          <t>ÖSTERGÖTLANDS LÄN</t>
        </is>
      </c>
      <c r="G153" t="inlineStr">
        <is>
          <t>SÖDERKÖPING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46286</v>
      </c>
      <c r="F154" t="inlineStr">
        <is>
          <t>ÖSTERGÖTLANDS LÄN</t>
        </is>
      </c>
      <c r="G154" t="inlineStr">
        <is>
          <t>SÖDERKÖPING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46760-2025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45926</v>
      </c>
      <c r="E155" s="1" t="n">
        <v>46286</v>
      </c>
      <c r="F155" t="inlineStr">
        <is>
          <t>ÖSTERGÖTLANDS LÄN</t>
        </is>
      </c>
      <c r="G155" t="inlineStr">
        <is>
          <t>SÖDERKÖPING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46286</v>
      </c>
      <c r="F156" t="inlineStr">
        <is>
          <t>ÖSTERGÖTLANDS LÄN</t>
        </is>
      </c>
      <c r="G156" t="inlineStr">
        <is>
          <t>SÖDERKÖPING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69425-2021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44531</v>
      </c>
      <c r="E157" s="1" t="n">
        <v>46286</v>
      </c>
      <c r="F157" t="inlineStr">
        <is>
          <t>ÖSTERGÖTLANDS LÄN</t>
        </is>
      </c>
      <c r="G157" t="inlineStr">
        <is>
          <t>SÖDERKÖPING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45701</v>
      </c>
      <c r="E158" s="1" t="n">
        <v>46286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46286</v>
      </c>
      <c r="F159" t="inlineStr">
        <is>
          <t>ÖSTERGÖTLANDS LÄN</t>
        </is>
      </c>
      <c r="G159" t="inlineStr">
        <is>
          <t>SÖDERKÖPING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46286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Allmännings- och besparingsskogar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46286</v>
      </c>
      <c r="F161" t="inlineStr">
        <is>
          <t>ÖSTERGÖTLANDS LÄN</t>
        </is>
      </c>
      <c r="G161" t="inlineStr">
        <is>
          <t>SÖDERKÖPING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46286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46286</v>
      </c>
      <c r="F163" t="inlineStr">
        <is>
          <t>ÖSTERGÖTLANDS LÄN</t>
        </is>
      </c>
      <c r="G163" t="inlineStr">
        <is>
          <t>SÖDERKÖPING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46286</v>
      </c>
      <c r="F164" t="inlineStr">
        <is>
          <t>ÖSTERGÖTLANDS LÄN</t>
        </is>
      </c>
      <c r="G164" t="inlineStr">
        <is>
          <t>SÖDERKÖPING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66362-2021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44518</v>
      </c>
      <c r="E165" s="1" t="n">
        <v>46286</v>
      </c>
      <c r="F165" t="inlineStr">
        <is>
          <t>ÖSTERGÖTLANDS LÄN</t>
        </is>
      </c>
      <c r="G165" t="inlineStr">
        <is>
          <t>SÖDERKÖPING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45546</v>
      </c>
      <c r="E166" s="1" t="n">
        <v>46286</v>
      </c>
      <c r="F166" t="inlineStr">
        <is>
          <t>ÖSTERGÖTLANDS LÄN</t>
        </is>
      </c>
      <c r="G166" t="inlineStr">
        <is>
          <t>SÖDERKÖPING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46286</v>
      </c>
      <c r="F167" t="inlineStr">
        <is>
          <t>ÖSTERGÖTLANDS LÄN</t>
        </is>
      </c>
      <c r="G167" t="inlineStr">
        <is>
          <t>SÖDERKÖPING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46286</v>
      </c>
      <c r="F168" t="inlineStr">
        <is>
          <t>ÖSTERGÖTLANDS LÄN</t>
        </is>
      </c>
      <c r="G168" t="inlineStr">
        <is>
          <t>SÖDERKÖPING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46286</v>
      </c>
      <c r="F169" t="inlineStr">
        <is>
          <t>ÖSTERGÖTLANDS LÄN</t>
        </is>
      </c>
      <c r="G169" t="inlineStr">
        <is>
          <t>SÖDERKÖPING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44862</v>
      </c>
      <c r="E170" s="1" t="n">
        <v>46286</v>
      </c>
      <c r="F170" t="inlineStr">
        <is>
          <t>ÖSTERGÖTLANDS LÄN</t>
        </is>
      </c>
      <c r="G170" t="inlineStr">
        <is>
          <t>SÖDERKÖPING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46286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46286</v>
      </c>
      <c r="F172" t="inlineStr">
        <is>
          <t>ÖSTERGÖTLANDS LÄN</t>
        </is>
      </c>
      <c r="G172" t="inlineStr">
        <is>
          <t>SÖDERKÖPING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46286</v>
      </c>
      <c r="F173" t="inlineStr">
        <is>
          <t>ÖSTERGÖTLANDS LÄN</t>
        </is>
      </c>
      <c r="G173" t="inlineStr">
        <is>
          <t>SÖDERKÖPING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46286</v>
      </c>
      <c r="F174" t="inlineStr">
        <is>
          <t>ÖSTERGÖTLANDS LÄN</t>
        </is>
      </c>
      <c r="G174" t="inlineStr">
        <is>
          <t>SÖDERKÖPING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46286</v>
      </c>
      <c r="F175" t="inlineStr">
        <is>
          <t>ÖSTERGÖTLANDS LÄN</t>
        </is>
      </c>
      <c r="G175" t="inlineStr">
        <is>
          <t>SÖDERKÖPING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46286</v>
      </c>
      <c r="F176" t="inlineStr">
        <is>
          <t>ÖSTERGÖTLANDS LÄN</t>
        </is>
      </c>
      <c r="G176" t="inlineStr">
        <is>
          <t>SÖDERKÖPING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46286</v>
      </c>
      <c r="F177" t="inlineStr">
        <is>
          <t>ÖSTERGÖTLANDS LÄN</t>
        </is>
      </c>
      <c r="G177" t="inlineStr">
        <is>
          <t>SÖDERKÖPING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46286</v>
      </c>
      <c r="F178" t="inlineStr">
        <is>
          <t>ÖSTERGÖTLANDS LÄN</t>
        </is>
      </c>
      <c r="G178" t="inlineStr">
        <is>
          <t>SÖDERKÖPING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46286</v>
      </c>
      <c r="F179" t="inlineStr">
        <is>
          <t>ÖSTERGÖTLANDS LÄN</t>
        </is>
      </c>
      <c r="G179" t="inlineStr">
        <is>
          <t>SÖDERKÖPING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9799-2023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46286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Allmännings- och besparingsskogar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46286</v>
      </c>
      <c r="F181" t="inlineStr">
        <is>
          <t>ÖSTERGÖTLANDS LÄN</t>
        </is>
      </c>
      <c r="G181" t="inlineStr">
        <is>
          <t>SÖDERKÖPING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46161</v>
      </c>
      <c r="E182" s="1" t="n">
        <v>46286</v>
      </c>
      <c r="F182" t="inlineStr">
        <is>
          <t>ÖSTERGÖTLANDS LÄN</t>
        </is>
      </c>
      <c r="G182" t="inlineStr">
        <is>
          <t>SÖDERKÖPING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46163</v>
      </c>
      <c r="E183" s="1" t="n">
        <v>46286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Allmännings- och besparingsskogar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46286</v>
      </c>
      <c r="F184" t="inlineStr">
        <is>
          <t>ÖSTERGÖTLANDS LÄN</t>
        </is>
      </c>
      <c r="G184" t="inlineStr">
        <is>
          <t>SÖDERKÖPING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44805</v>
      </c>
      <c r="E185" s="1" t="n">
        <v>46286</v>
      </c>
      <c r="F185" t="inlineStr">
        <is>
          <t>ÖSTERGÖTLANDS LÄN</t>
        </is>
      </c>
      <c r="G185" t="inlineStr">
        <is>
          <t>SÖDERKÖPING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46286</v>
      </c>
      <c r="F186" t="inlineStr">
        <is>
          <t>ÖSTERGÖTLANDS LÄN</t>
        </is>
      </c>
      <c r="G186" t="inlineStr">
        <is>
          <t>SÖDERKÖPING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46286</v>
      </c>
      <c r="F187" t="inlineStr">
        <is>
          <t>ÖSTERGÖTLANDS LÄN</t>
        </is>
      </c>
      <c r="G187" t="inlineStr">
        <is>
          <t>SÖDERKÖPING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46286</v>
      </c>
      <c r="F188" t="inlineStr">
        <is>
          <t>ÖSTERGÖTLANDS LÄN</t>
        </is>
      </c>
      <c r="G188" t="inlineStr">
        <is>
          <t>SÖDERKÖPING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46286</v>
      </c>
      <c r="F189" t="inlineStr">
        <is>
          <t>ÖSTERGÖTLANDS LÄN</t>
        </is>
      </c>
      <c r="G189" t="inlineStr">
        <is>
          <t>SÖDERKÖPING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46286</v>
      </c>
      <c r="F190" t="inlineStr">
        <is>
          <t>ÖSTERGÖTLANDS LÄN</t>
        </is>
      </c>
      <c r="G190" t="inlineStr">
        <is>
          <t>SÖDERKÖPING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46164</v>
      </c>
      <c r="E191" s="1" t="n">
        <v>46286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Holmen skog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46286</v>
      </c>
      <c r="F192" t="inlineStr">
        <is>
          <t>ÖSTERGÖTLANDS LÄN</t>
        </is>
      </c>
      <c r="G192" t="inlineStr">
        <is>
          <t>SÖDERKÖPING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46286</v>
      </c>
      <c r="F193" t="inlineStr">
        <is>
          <t>ÖSTERGÖTLANDS LÄN</t>
        </is>
      </c>
      <c r="G193" t="inlineStr">
        <is>
          <t>SÖDERKÖPING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46286</v>
      </c>
      <c r="F194" t="inlineStr">
        <is>
          <t>ÖSTERGÖTLANDS LÄN</t>
        </is>
      </c>
      <c r="G194" t="inlineStr">
        <is>
          <t>SÖDERKÖPING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46286</v>
      </c>
      <c r="F195" t="inlineStr">
        <is>
          <t>ÖSTERGÖTLANDS LÄN</t>
        </is>
      </c>
      <c r="G195" t="inlineStr">
        <is>
          <t>SÖDERKÖPING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46286</v>
      </c>
      <c r="F196" t="inlineStr">
        <is>
          <t>ÖSTERGÖTLANDS LÄN</t>
        </is>
      </c>
      <c r="G196" t="inlineStr">
        <is>
          <t>SÖDERKÖPING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45190</v>
      </c>
      <c r="E197" s="1" t="n">
        <v>46286</v>
      </c>
      <c r="F197" t="inlineStr">
        <is>
          <t>ÖSTERGÖTLANDS LÄN</t>
        </is>
      </c>
      <c r="G197" t="inlineStr">
        <is>
          <t>SÖDERKÖPING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46286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Allmännings- och besparingsskogar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46286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60640-2022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44911</v>
      </c>
      <c r="E200" s="1" t="n">
        <v>46286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Allmännings- och besparingsskogar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64825-2023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45282</v>
      </c>
      <c r="E201" s="1" t="n">
        <v>46286</v>
      </c>
      <c r="F201" t="inlineStr">
        <is>
          <t>ÖSTERGÖTLANDS LÄN</t>
        </is>
      </c>
      <c r="G201" t="inlineStr">
        <is>
          <t>SÖDERKÖPING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66075-2021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44517</v>
      </c>
      <c r="E202" s="1" t="n">
        <v>46286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Kyrkan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46286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46171</v>
      </c>
      <c r="E204" s="1" t="n">
        <v>46286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46286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Allmännings- och besparingsskogar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46286</v>
      </c>
      <c r="F206" t="inlineStr">
        <is>
          <t>ÖSTERGÖTLANDS LÄN</t>
        </is>
      </c>
      <c r="G206" t="inlineStr">
        <is>
          <t>SÖDERKÖPING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46286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Allmännings- och besparingsskogar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50050-2023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45215</v>
      </c>
      <c r="E208" s="1" t="n">
        <v>46286</v>
      </c>
      <c r="F208" t="inlineStr">
        <is>
          <t>ÖSTERGÖTLANDS LÄN</t>
        </is>
      </c>
      <c r="G208" t="inlineStr">
        <is>
          <t>SÖDERKÖPING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46286</v>
      </c>
      <c r="F209" t="inlineStr">
        <is>
          <t>ÖSTERGÖTLANDS LÄN</t>
        </is>
      </c>
      <c r="G209" t="inlineStr">
        <is>
          <t>SÖDERKÖPING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45684</v>
      </c>
      <c r="E210" s="1" t="n">
        <v>46286</v>
      </c>
      <c r="F210" t="inlineStr">
        <is>
          <t>ÖSTERGÖTLANDS LÄN</t>
        </is>
      </c>
      <c r="G210" t="inlineStr">
        <is>
          <t>SÖDERKÖPING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46286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Kyrkan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45344</v>
      </c>
      <c r="E212" s="1" t="n">
        <v>46286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46286</v>
      </c>
      <c r="F213" t="inlineStr">
        <is>
          <t>ÖSTERGÖTLANDS LÄN</t>
        </is>
      </c>
      <c r="G213" t="inlineStr">
        <is>
          <t>SÖDERKÖPING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46286</v>
      </c>
      <c r="F214" t="inlineStr">
        <is>
          <t>ÖSTERGÖTLANDS LÄN</t>
        </is>
      </c>
      <c r="G214" t="inlineStr">
        <is>
          <t>SÖDERKÖPING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46286</v>
      </c>
      <c r="F215" t="inlineStr">
        <is>
          <t>ÖSTERGÖTLANDS LÄN</t>
        </is>
      </c>
      <c r="G215" t="inlineStr">
        <is>
          <t>SÖDERKÖPING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46286</v>
      </c>
      <c r="F216" t="inlineStr">
        <is>
          <t>ÖSTERGÖTLANDS LÄN</t>
        </is>
      </c>
      <c r="G216" t="inlineStr">
        <is>
          <t>SÖDERKÖPING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46286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46286</v>
      </c>
      <c r="F218" t="inlineStr">
        <is>
          <t>ÖSTERGÖTLANDS LÄN</t>
        </is>
      </c>
      <c r="G218" t="inlineStr">
        <is>
          <t>SÖDERKÖPING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46059</v>
      </c>
      <c r="E219" s="1" t="n">
        <v>46286</v>
      </c>
      <c r="F219" t="inlineStr">
        <is>
          <t>ÖSTERGÖTLANDS LÄN</t>
        </is>
      </c>
      <c r="G219" t="inlineStr">
        <is>
          <t>SÖDERKÖPING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46286</v>
      </c>
      <c r="F220" t="inlineStr">
        <is>
          <t>ÖSTERGÖTLANDS LÄN</t>
        </is>
      </c>
      <c r="G220" t="inlineStr">
        <is>
          <t>SÖDERKÖPING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7440-2026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46286</v>
      </c>
      <c r="F221" t="inlineStr">
        <is>
          <t>ÖSTERGÖTLANDS LÄN</t>
        </is>
      </c>
      <c r="G221" t="inlineStr">
        <is>
          <t>SÖDERKÖPING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46061</v>
      </c>
      <c r="E222" s="1" t="n">
        <v>46286</v>
      </c>
      <c r="F222" t="inlineStr">
        <is>
          <t>ÖSTERGÖTLANDS LÄN</t>
        </is>
      </c>
      <c r="G222" t="inlineStr">
        <is>
          <t>SÖDERKÖPING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46286</v>
      </c>
      <c r="F223" t="inlineStr">
        <is>
          <t>ÖSTERGÖTLANDS LÄN</t>
        </is>
      </c>
      <c r="G223" t="inlineStr">
        <is>
          <t>SÖDERKÖPING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46286</v>
      </c>
      <c r="F224" t="inlineStr">
        <is>
          <t>ÖSTERGÖTLANDS LÄN</t>
        </is>
      </c>
      <c r="G224" t="inlineStr">
        <is>
          <t>SÖDERKÖPING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46286</v>
      </c>
      <c r="F225" t="inlineStr">
        <is>
          <t>ÖSTERGÖTLANDS LÄN</t>
        </is>
      </c>
      <c r="G225" t="inlineStr">
        <is>
          <t>SÖDERKÖPING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46153</v>
      </c>
      <c r="E226" s="1" t="n">
        <v>46286</v>
      </c>
      <c r="F226" t="inlineStr">
        <is>
          <t>ÖSTERGÖTLANDS LÄN</t>
        </is>
      </c>
      <c r="G226" t="inlineStr">
        <is>
          <t>SÖDERKÖPING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46286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44711</v>
      </c>
      <c r="E228" s="1" t="n">
        <v>46286</v>
      </c>
      <c r="F228" t="inlineStr">
        <is>
          <t>ÖSTERGÖTLANDS LÄN</t>
        </is>
      </c>
      <c r="G228" t="inlineStr">
        <is>
          <t>SÖDERKÖPING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46286</v>
      </c>
      <c r="F229" t="inlineStr">
        <is>
          <t>ÖSTERGÖTLANDS LÄN</t>
        </is>
      </c>
      <c r="G229" t="inlineStr">
        <is>
          <t>SÖDERKÖPING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26439-2026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46183</v>
      </c>
      <c r="E230" s="1" t="n">
        <v>46286</v>
      </c>
      <c r="F230" t="inlineStr">
        <is>
          <t>ÖSTERGÖTLANDS LÄN</t>
        </is>
      </c>
      <c r="G230" t="inlineStr">
        <is>
          <t>SÖDERKÖPING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46286</v>
      </c>
      <c r="F231" t="inlineStr">
        <is>
          <t>ÖSTERGÖTLANDS LÄN</t>
        </is>
      </c>
      <c r="G231" t="inlineStr">
        <is>
          <t>SÖDERKÖPING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46286</v>
      </c>
      <c r="F232" t="inlineStr">
        <is>
          <t>ÖSTERGÖTLANDS LÄN</t>
        </is>
      </c>
      <c r="G232" t="inlineStr">
        <is>
          <t>SÖDERKÖPING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11005-2026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46079</v>
      </c>
      <c r="E233" s="1" t="n">
        <v>46286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Kyrkan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46286</v>
      </c>
      <c r="F234" t="inlineStr">
        <is>
          <t>ÖSTERGÖTLANDS LÄN</t>
        </is>
      </c>
      <c r="G234" t="inlineStr">
        <is>
          <t>SÖDERKÖPING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46183</v>
      </c>
      <c r="E235" s="1" t="n">
        <v>46286</v>
      </c>
      <c r="F235" t="inlineStr">
        <is>
          <t>ÖSTERGÖTLANDS LÄN</t>
        </is>
      </c>
      <c r="G235" t="inlineStr">
        <is>
          <t>SÖDERKÖPING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44618</v>
      </c>
      <c r="E236" s="1" t="n">
        <v>46286</v>
      </c>
      <c r="F236" t="inlineStr">
        <is>
          <t>ÖSTERGÖTLANDS LÄN</t>
        </is>
      </c>
      <c r="G236" t="inlineStr">
        <is>
          <t>SÖDERKÖPING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46286</v>
      </c>
      <c r="F237" t="inlineStr">
        <is>
          <t>ÖSTERGÖTLANDS LÄN</t>
        </is>
      </c>
      <c r="G237" t="inlineStr">
        <is>
          <t>SÖDERKÖPING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45293</v>
      </c>
      <c r="E238" s="1" t="n">
        <v>46286</v>
      </c>
      <c r="F238" t="inlineStr">
        <is>
          <t>ÖSTERGÖTLANDS LÄN</t>
        </is>
      </c>
      <c r="G238" t="inlineStr">
        <is>
          <t>SÖDERKÖPING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46286</v>
      </c>
      <c r="F239" t="inlineStr">
        <is>
          <t>ÖSTERGÖTLANDS LÄN</t>
        </is>
      </c>
      <c r="G239" t="inlineStr">
        <is>
          <t>SÖDERKÖPING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46286</v>
      </c>
      <c r="F240" t="inlineStr">
        <is>
          <t>ÖSTERGÖTLANDS LÄN</t>
        </is>
      </c>
      <c r="G240" t="inlineStr">
        <is>
          <t>SÖDERKÖPING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46286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45181</v>
      </c>
      <c r="E242" s="1" t="n">
        <v>46286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53889-2021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44469</v>
      </c>
      <c r="E243" s="1" t="n">
        <v>46286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46286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46286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Kommuner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46286</v>
      </c>
      <c r="F246" t="inlineStr">
        <is>
          <t>ÖSTERGÖTLANDS LÄN</t>
        </is>
      </c>
      <c r="G246" t="inlineStr">
        <is>
          <t>SÖDERKÖPING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46286</v>
      </c>
      <c r="F247" t="inlineStr">
        <is>
          <t>ÖSTERGÖTLANDS LÄN</t>
        </is>
      </c>
      <c r="G247" t="inlineStr">
        <is>
          <t>SÖDERKÖPING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46101</v>
      </c>
      <c r="E248" s="1" t="n">
        <v>46286</v>
      </c>
      <c r="F248" t="inlineStr">
        <is>
          <t>ÖSTERGÖTLANDS LÄN</t>
        </is>
      </c>
      <c r="G248" t="inlineStr">
        <is>
          <t>SÖDERKÖPING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46286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46286</v>
      </c>
      <c r="F250" t="inlineStr">
        <is>
          <t>ÖSTERGÖTLANDS LÄN</t>
        </is>
      </c>
      <c r="G250" t="inlineStr">
        <is>
          <t>SÖDERKÖPING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46286</v>
      </c>
      <c r="F251" t="inlineStr">
        <is>
          <t>ÖSTERGÖTLANDS LÄN</t>
        </is>
      </c>
      <c r="G251" t="inlineStr">
        <is>
          <t>SÖDERKÖPING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46286</v>
      </c>
      <c r="F252" t="inlineStr">
        <is>
          <t>ÖSTERGÖTLANDS LÄN</t>
        </is>
      </c>
      <c r="G252" t="inlineStr">
        <is>
          <t>SÖDERKÖPING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46111</v>
      </c>
      <c r="E253" s="1" t="n">
        <v>46286</v>
      </c>
      <c r="F253" t="inlineStr">
        <is>
          <t>ÖSTERGÖTLANDS LÄN</t>
        </is>
      </c>
      <c r="G253" t="inlineStr">
        <is>
          <t>SÖDERKÖPING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44951</v>
      </c>
      <c r="E254" s="1" t="n">
        <v>46286</v>
      </c>
      <c r="F254" t="inlineStr">
        <is>
          <t>ÖSTERGÖTLANDS LÄN</t>
        </is>
      </c>
      <c r="G254" t="inlineStr">
        <is>
          <t>SÖDERKÖPING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46286</v>
      </c>
      <c r="F255" t="inlineStr">
        <is>
          <t>ÖSTERGÖTLANDS LÄN</t>
        </is>
      </c>
      <c r="G255" t="inlineStr">
        <is>
          <t>SÖDERKÖPING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43891-2023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45187</v>
      </c>
      <c r="E256" s="1" t="n">
        <v>46286</v>
      </c>
      <c r="F256" t="inlineStr">
        <is>
          <t>ÖSTERGÖTLANDS LÄN</t>
        </is>
      </c>
      <c r="G256" t="inlineStr">
        <is>
          <t>SÖDERKÖPING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46286</v>
      </c>
      <c r="F257" t="inlineStr">
        <is>
          <t>ÖSTERGÖTLANDS LÄN</t>
        </is>
      </c>
      <c r="G257" t="inlineStr">
        <is>
          <t>SÖDERKÖPING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46286</v>
      </c>
      <c r="F258" t="inlineStr">
        <is>
          <t>ÖSTERGÖTLANDS LÄN</t>
        </is>
      </c>
      <c r="G258" t="inlineStr">
        <is>
          <t>SÖDERKÖPING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46286</v>
      </c>
      <c r="F259" t="inlineStr">
        <is>
          <t>ÖSTERGÖTLANDS LÄN</t>
        </is>
      </c>
      <c r="G259" t="inlineStr">
        <is>
          <t>SÖDERKÖPING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45295</v>
      </c>
      <c r="E260" s="1" t="n">
        <v>46286</v>
      </c>
      <c r="F260" t="inlineStr">
        <is>
          <t>ÖSTERGÖTLANDS LÄN</t>
        </is>
      </c>
      <c r="G260" t="inlineStr">
        <is>
          <t>SÖDERKÖPING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46286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45061</v>
      </c>
      <c r="E262" s="1" t="n">
        <v>46286</v>
      </c>
      <c r="F262" t="inlineStr">
        <is>
          <t>ÖSTERGÖTLANDS LÄN</t>
        </is>
      </c>
      <c r="G262" t="inlineStr">
        <is>
          <t>SÖDERKÖPING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46286</v>
      </c>
      <c r="F263" t="inlineStr">
        <is>
          <t>ÖSTERGÖTLANDS LÄN</t>
        </is>
      </c>
      <c r="G263" t="inlineStr">
        <is>
          <t>SÖDERKÖPING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45215</v>
      </c>
      <c r="E264" s="1" t="n">
        <v>46286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Kyrkan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45295</v>
      </c>
      <c r="E265" s="1" t="n">
        <v>46286</v>
      </c>
      <c r="F265" t="inlineStr">
        <is>
          <t>ÖSTERGÖTLANDS LÄN</t>
        </is>
      </c>
      <c r="G265" t="inlineStr">
        <is>
          <t>SÖDERKÖPING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45489</v>
      </c>
      <c r="E266" s="1" t="n">
        <v>46286</v>
      </c>
      <c r="F266" t="inlineStr">
        <is>
          <t>ÖSTERGÖTLANDS LÄN</t>
        </is>
      </c>
      <c r="G266" t="inlineStr">
        <is>
          <t>SÖDERKÖPING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56213-2022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46286</v>
      </c>
      <c r="F267" t="inlineStr">
        <is>
          <t>ÖSTERGÖTLANDS LÄN</t>
        </is>
      </c>
      <c r="G267" t="inlineStr">
        <is>
          <t>SÖDERKÖPING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46134</v>
      </c>
      <c r="E268" s="1" t="n">
        <v>46286</v>
      </c>
      <c r="F268" t="inlineStr">
        <is>
          <t>ÖSTERGÖTLANDS LÄN</t>
        </is>
      </c>
      <c r="G268" t="inlineStr">
        <is>
          <t>SÖDERKÖPING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46286</v>
      </c>
      <c r="F269" t="inlineStr">
        <is>
          <t>ÖSTERGÖTLANDS LÄN</t>
        </is>
      </c>
      <c r="G269" t="inlineStr">
        <is>
          <t>SÖDERKÖPING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45756</v>
      </c>
      <c r="E270" s="1" t="n">
        <v>46286</v>
      </c>
      <c r="F270" t="inlineStr">
        <is>
          <t>ÖSTERGÖTLANDS LÄN</t>
        </is>
      </c>
      <c r="G270" t="inlineStr">
        <is>
          <t>SÖDERKÖPING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45239</v>
      </c>
      <c r="E271" s="1" t="n">
        <v>46286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45055</v>
      </c>
      <c r="E272" s="1" t="n">
        <v>46286</v>
      </c>
      <c r="F272" t="inlineStr">
        <is>
          <t>ÖSTERGÖTLANDS LÄN</t>
        </is>
      </c>
      <c r="G272" t="inlineStr">
        <is>
          <t>SÖDERKÖPING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45055</v>
      </c>
      <c r="E273" s="1" t="n">
        <v>46286</v>
      </c>
      <c r="F273" t="inlineStr">
        <is>
          <t>ÖSTERGÖTLANDS LÄN</t>
        </is>
      </c>
      <c r="G273" t="inlineStr">
        <is>
          <t>SÖDERKÖPING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46286</v>
      </c>
      <c r="F274" t="inlineStr">
        <is>
          <t>ÖSTERGÖTLANDS LÄN</t>
        </is>
      </c>
      <c r="G274" t="inlineStr">
        <is>
          <t>SÖDERKÖPING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21416-2025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45782</v>
      </c>
      <c r="E275" s="1" t="n">
        <v>46286</v>
      </c>
      <c r="F275" t="inlineStr">
        <is>
          <t>ÖSTERGÖTLANDS LÄN</t>
        </is>
      </c>
      <c r="G275" t="inlineStr">
        <is>
          <t>SÖDERKÖPING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46286</v>
      </c>
      <c r="F276" t="inlineStr">
        <is>
          <t>ÖSTERGÖTLANDS LÄN</t>
        </is>
      </c>
      <c r="G276" t="inlineStr">
        <is>
          <t>SÖDERKÖPING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46206</v>
      </c>
      <c r="E277" s="1" t="n">
        <v>46286</v>
      </c>
      <c r="F277" t="inlineStr">
        <is>
          <t>ÖSTERGÖTLANDS LÄN</t>
        </is>
      </c>
      <c r="G277" t="inlineStr">
        <is>
          <t>SÖDERKÖPING</t>
        </is>
      </c>
      <c r="I277" t="n">
        <v>18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46286</v>
      </c>
      <c r="F278" t="inlineStr">
        <is>
          <t>ÖSTERGÖTLANDS LÄN</t>
        </is>
      </c>
      <c r="G278" t="inlineStr">
        <is>
          <t>SÖDERKÖPING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46286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Holmen skog AB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46286</v>
      </c>
      <c r="F280" t="inlineStr">
        <is>
          <t>ÖSTERGÖTLANDS LÄN</t>
        </is>
      </c>
      <c r="G280" t="inlineStr">
        <is>
          <t>SÖDERKÖPING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47419-2024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46286</v>
      </c>
      <c r="F281" t="inlineStr">
        <is>
          <t>ÖSTERGÖTLANDS LÄN</t>
        </is>
      </c>
      <c r="G281" t="inlineStr">
        <is>
          <t>SÖDERKÖPING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11673-2023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44994</v>
      </c>
      <c r="E282" s="1" t="n">
        <v>46286</v>
      </c>
      <c r="F282" t="inlineStr">
        <is>
          <t>ÖSTERGÖTLANDS LÄN</t>
        </is>
      </c>
      <c r="G282" t="inlineStr">
        <is>
          <t>SÖDERKÖPING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44965</v>
      </c>
      <c r="E283" s="1" t="n">
        <v>46286</v>
      </c>
      <c r="F283" t="inlineStr">
        <is>
          <t>ÖSTERGÖTLANDS LÄN</t>
        </is>
      </c>
      <c r="G283" t="inlineStr">
        <is>
          <t>SÖDERKÖPING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46286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46286</v>
      </c>
      <c r="F285" t="inlineStr">
        <is>
          <t>ÖSTERGÖTLANDS LÄN</t>
        </is>
      </c>
      <c r="G285" t="inlineStr">
        <is>
          <t>SÖDERKÖPING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44572</v>
      </c>
      <c r="E286" s="1" t="n">
        <v>46286</v>
      </c>
      <c r="F286" t="inlineStr">
        <is>
          <t>ÖSTERGÖTLANDS LÄN</t>
        </is>
      </c>
      <c r="G286" t="inlineStr">
        <is>
          <t>SÖDERKÖPING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44593</v>
      </c>
      <c r="E287" s="1" t="n">
        <v>46286</v>
      </c>
      <c r="F287" t="inlineStr">
        <is>
          <t>ÖSTERGÖTLANDS LÄN</t>
        </is>
      </c>
      <c r="G287" t="inlineStr">
        <is>
          <t>SÖDERKÖPING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46286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Holmen skog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44753</v>
      </c>
      <c r="E289" s="1" t="n">
        <v>46286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45595</v>
      </c>
      <c r="E290" s="1" t="n">
        <v>46286</v>
      </c>
      <c r="F290" t="inlineStr">
        <is>
          <t>ÖSTERGÖTLANDS LÄN</t>
        </is>
      </c>
      <c r="G290" t="inlineStr">
        <is>
          <t>SÖDERKÖPING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46286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46286</v>
      </c>
      <c r="F292" t="inlineStr">
        <is>
          <t>ÖSTERGÖTLANDS LÄN</t>
        </is>
      </c>
      <c r="G292" t="inlineStr">
        <is>
          <t>SÖDERKÖPING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41245-2023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46286</v>
      </c>
      <c r="F293" t="inlineStr">
        <is>
          <t>ÖSTERGÖTLANDS LÄN</t>
        </is>
      </c>
      <c r="G293" t="inlineStr">
        <is>
          <t>SÖDERKÖPING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46171</v>
      </c>
      <c r="E294" s="1" t="n">
        <v>46286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Holmen skog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45297</v>
      </c>
      <c r="E295" s="1" t="n">
        <v>46286</v>
      </c>
      <c r="F295" t="inlineStr">
        <is>
          <t>ÖSTERGÖTLANDS LÄN</t>
        </is>
      </c>
      <c r="G295" t="inlineStr">
        <is>
          <t>SÖDERKÖPING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12708-2024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45379</v>
      </c>
      <c r="E296" s="1" t="n">
        <v>46286</v>
      </c>
      <c r="F296" t="inlineStr">
        <is>
          <t>ÖSTERGÖTLANDS LÄN</t>
        </is>
      </c>
      <c r="G296" t="inlineStr">
        <is>
          <t>SÖDERKÖPING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46286</v>
      </c>
      <c r="F297" t="inlineStr">
        <is>
          <t>ÖSTERGÖTLANDS LÄN</t>
        </is>
      </c>
      <c r="G297" t="inlineStr">
        <is>
          <t>SÖDERKÖPING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44888</v>
      </c>
      <c r="E298" s="1" t="n">
        <v>46286</v>
      </c>
      <c r="F298" t="inlineStr">
        <is>
          <t>ÖSTERGÖTLANDS LÄN</t>
        </is>
      </c>
      <c r="G298" t="inlineStr">
        <is>
          <t>SÖDERKÖPING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46286</v>
      </c>
      <c r="F299" t="inlineStr">
        <is>
          <t>ÖSTERGÖTLANDS LÄN</t>
        </is>
      </c>
      <c r="G299" t="inlineStr">
        <is>
          <t>SÖDERKÖPING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46219</v>
      </c>
      <c r="E300" s="1" t="n">
        <v>46286</v>
      </c>
      <c r="F300" t="inlineStr">
        <is>
          <t>ÖSTERGÖTLANDS LÄN</t>
        </is>
      </c>
      <c r="G300" t="inlineStr">
        <is>
          <t>SÖDERKÖPING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46286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Allmännings- och besparingsskogar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46286</v>
      </c>
      <c r="F302" t="inlineStr">
        <is>
          <t>ÖSTERGÖTLANDS LÄN</t>
        </is>
      </c>
      <c r="G302" t="inlineStr">
        <is>
          <t>SÖDERKÖPING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45707</v>
      </c>
      <c r="E303" s="1" t="n">
        <v>46286</v>
      </c>
      <c r="F303" t="inlineStr">
        <is>
          <t>ÖSTERGÖTLANDS LÄN</t>
        </is>
      </c>
      <c r="G303" t="inlineStr">
        <is>
          <t>SÖDERKÖPING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46417-2023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46286</v>
      </c>
      <c r="F304" t="inlineStr">
        <is>
          <t>ÖSTERGÖTLANDS LÄN</t>
        </is>
      </c>
      <c r="G304" t="inlineStr">
        <is>
          <t>SÖDERKÖPING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46219</v>
      </c>
      <c r="E305" s="1" t="n">
        <v>46286</v>
      </c>
      <c r="F305" t="inlineStr">
        <is>
          <t>ÖSTERGÖTLANDS LÄN</t>
        </is>
      </c>
      <c r="G305" t="inlineStr">
        <is>
          <t>SÖDERKÖPING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45055</v>
      </c>
      <c r="E306" s="1" t="n">
        <v>46286</v>
      </c>
      <c r="F306" t="inlineStr">
        <is>
          <t>ÖSTERGÖTLANDS LÄN</t>
        </is>
      </c>
      <c r="G306" t="inlineStr">
        <is>
          <t>SÖDERKÖPING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45297</v>
      </c>
      <c r="E307" s="1" t="n">
        <v>46286</v>
      </c>
      <c r="F307" t="inlineStr">
        <is>
          <t>ÖSTERGÖTLANDS LÄN</t>
        </is>
      </c>
      <c r="G307" t="inlineStr">
        <is>
          <t>SÖDERKÖPING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46286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31794-2026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46227</v>
      </c>
      <c r="E309" s="1" t="n">
        <v>46286</v>
      </c>
      <c r="F309" t="inlineStr">
        <is>
          <t>ÖSTERGÖTLANDS LÄN</t>
        </is>
      </c>
      <c r="G309" t="inlineStr">
        <is>
          <t>SÖDERKÖPING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46286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46286</v>
      </c>
      <c r="F311" t="inlineStr">
        <is>
          <t>ÖSTERGÖTLANDS LÄN</t>
        </is>
      </c>
      <c r="G311" t="inlineStr">
        <is>
          <t>SÖDERKÖPING</t>
        </is>
      </c>
      <c r="H311" t="inlineStr">
        <is>
          <t>Holmen skog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46227</v>
      </c>
      <c r="E312" s="1" t="n">
        <v>46286</v>
      </c>
      <c r="F312" t="inlineStr">
        <is>
          <t>ÖSTERGÖTLANDS LÄN</t>
        </is>
      </c>
      <c r="G312" t="inlineStr">
        <is>
          <t>SÖDERKÖPING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46227</v>
      </c>
      <c r="E313" s="1" t="n">
        <v>46286</v>
      </c>
      <c r="F313" t="inlineStr">
        <is>
          <t>ÖSTERGÖTLANDS LÄN</t>
        </is>
      </c>
      <c r="G313" t="inlineStr">
        <is>
          <t>SÖDERKÖPING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46286</v>
      </c>
      <c r="F314" t="inlineStr">
        <is>
          <t>ÖSTERGÖTLANDS LÄN</t>
        </is>
      </c>
      <c r="G314" t="inlineStr">
        <is>
          <t>SÖDERKÖPING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46286</v>
      </c>
      <c r="F315" t="inlineStr">
        <is>
          <t>ÖSTERGÖTLANDS LÄN</t>
        </is>
      </c>
      <c r="G315" t="inlineStr">
        <is>
          <t>SÖDERKÖPING</t>
        </is>
      </c>
      <c r="I315" t="n">
        <v>13.8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46286</v>
      </c>
      <c r="F316" t="inlineStr">
        <is>
          <t>ÖSTERGÖTLANDS LÄN</t>
        </is>
      </c>
      <c r="G316" t="inlineStr">
        <is>
          <t>SÖDERKÖPING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31315-2024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45504</v>
      </c>
      <c r="E317" s="1" t="n">
        <v>46286</v>
      </c>
      <c r="F317" t="inlineStr">
        <is>
          <t>ÖSTERGÖTLANDS LÄN</t>
        </is>
      </c>
      <c r="G317" t="inlineStr">
        <is>
          <t>SÖDERKÖPING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45504</v>
      </c>
      <c r="E318" s="1" t="n">
        <v>46286</v>
      </c>
      <c r="F318" t="inlineStr">
        <is>
          <t>ÖSTERGÖTLANDS LÄN</t>
        </is>
      </c>
      <c r="G318" t="inlineStr">
        <is>
          <t>SÖDERKÖPING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20310-2024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45435</v>
      </c>
      <c r="E319" s="1" t="n">
        <v>46286</v>
      </c>
      <c r="F319" t="inlineStr">
        <is>
          <t>ÖSTERGÖTLANDS LÄN</t>
        </is>
      </c>
      <c r="G319" t="inlineStr">
        <is>
          <t>SÖDERKÖPING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45601</v>
      </c>
      <c r="E320" s="1" t="n">
        <v>46286</v>
      </c>
      <c r="F320" t="inlineStr">
        <is>
          <t>ÖSTERGÖTLANDS LÄN</t>
        </is>
      </c>
      <c r="G320" t="inlineStr">
        <is>
          <t>SÖDERKÖPING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45692</v>
      </c>
      <c r="E321" s="1" t="n">
        <v>46286</v>
      </c>
      <c r="F321" t="inlineStr">
        <is>
          <t>ÖSTERGÖTLANDS LÄN</t>
        </is>
      </c>
      <c r="G321" t="inlineStr">
        <is>
          <t>SÖDERKÖPING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46286</v>
      </c>
      <c r="F322" t="inlineStr">
        <is>
          <t>ÖSTERGÖTLANDS LÄN</t>
        </is>
      </c>
      <c r="G322" t="inlineStr">
        <is>
          <t>SÖDERKÖPING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46286</v>
      </c>
      <c r="F323" t="inlineStr">
        <is>
          <t>ÖSTERGÖTLANDS LÄN</t>
        </is>
      </c>
      <c r="G323" t="inlineStr">
        <is>
          <t>SÖDERKÖPING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45184</v>
      </c>
      <c r="E324" s="1" t="n">
        <v>46286</v>
      </c>
      <c r="F324" t="inlineStr">
        <is>
          <t>ÖSTERGÖTLANDS LÄN</t>
        </is>
      </c>
      <c r="G324" t="inlineStr">
        <is>
          <t>SÖDERKÖPING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45790</v>
      </c>
      <c r="E325" s="1" t="n">
        <v>46286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45792</v>
      </c>
      <c r="E326" s="1" t="n">
        <v>46286</v>
      </c>
      <c r="F326" t="inlineStr">
        <is>
          <t>ÖSTERGÖTLANDS LÄN</t>
        </is>
      </c>
      <c r="G326" t="inlineStr">
        <is>
          <t>SÖDERKÖPING</t>
        </is>
      </c>
      <c r="I326" t="n">
        <v>12.2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46286</v>
      </c>
      <c r="F327" t="inlineStr">
        <is>
          <t>ÖSTERGÖTLANDS LÄN</t>
        </is>
      </c>
      <c r="G327" t="inlineStr">
        <is>
          <t>SÖDERKÖPING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45797</v>
      </c>
      <c r="E328" s="1" t="n">
        <v>46286</v>
      </c>
      <c r="F328" t="inlineStr">
        <is>
          <t>ÖSTERGÖTLANDS LÄN</t>
        </is>
      </c>
      <c r="G328" t="inlineStr">
        <is>
          <t>SÖDERKÖPING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45797</v>
      </c>
      <c r="E329" s="1" t="n">
        <v>46286</v>
      </c>
      <c r="F329" t="inlineStr">
        <is>
          <t>ÖSTERGÖTLANDS LÄN</t>
        </is>
      </c>
      <c r="G329" t="inlineStr">
        <is>
          <t>SÖDERKÖPING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46241</v>
      </c>
      <c r="E330" s="1" t="n">
        <v>46286</v>
      </c>
      <c r="F330" t="inlineStr">
        <is>
          <t>ÖSTERGÖTLANDS LÄN</t>
        </is>
      </c>
      <c r="G330" t="inlineStr">
        <is>
          <t>SÖDERKÖPING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46241</v>
      </c>
      <c r="E331" s="1" t="n">
        <v>46286</v>
      </c>
      <c r="F331" t="inlineStr">
        <is>
          <t>ÖSTERGÖTLANDS LÄN</t>
        </is>
      </c>
      <c r="G331" t="inlineStr">
        <is>
          <t>SÖDERKÖPING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45685</v>
      </c>
      <c r="E332" s="1" t="n">
        <v>46286</v>
      </c>
      <c r="F332" t="inlineStr">
        <is>
          <t>ÖSTERGÖTLANDS LÄN</t>
        </is>
      </c>
      <c r="G332" t="inlineStr">
        <is>
          <t>SÖDERKÖPING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45692</v>
      </c>
      <c r="E333" s="1" t="n">
        <v>46286</v>
      </c>
      <c r="F333" t="inlineStr">
        <is>
          <t>ÖSTERGÖTLANDS LÄN</t>
        </is>
      </c>
      <c r="G333" t="inlineStr">
        <is>
          <t>SÖDERKÖPING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44939</v>
      </c>
      <c r="E334" s="1" t="n">
        <v>46286</v>
      </c>
      <c r="F334" t="inlineStr">
        <is>
          <t>ÖSTERGÖTLANDS LÄN</t>
        </is>
      </c>
      <c r="G334" t="inlineStr">
        <is>
          <t>SÖDERKÖPING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45742</v>
      </c>
      <c r="E335" s="1" t="n">
        <v>46286</v>
      </c>
      <c r="F335" t="inlineStr">
        <is>
          <t>ÖSTERGÖTLANDS LÄN</t>
        </is>
      </c>
      <c r="G335" t="inlineStr">
        <is>
          <t>SÖDERKÖPING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46286</v>
      </c>
      <c r="F336" t="inlineStr">
        <is>
          <t>ÖSTERGÖTLANDS LÄN</t>
        </is>
      </c>
      <c r="G336" t="inlineStr">
        <is>
          <t>SÖDERKÖPING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46286</v>
      </c>
      <c r="F337" t="inlineStr">
        <is>
          <t>ÖSTERGÖTLANDS LÄN</t>
        </is>
      </c>
      <c r="G337" t="inlineStr">
        <is>
          <t>SÖDERKÖPING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46286</v>
      </c>
      <c r="F338" t="inlineStr">
        <is>
          <t>ÖSTERGÖTLANDS LÄN</t>
        </is>
      </c>
      <c r="G338" t="inlineStr">
        <is>
          <t>SÖDERKÖPING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45791</v>
      </c>
      <c r="E339" s="1" t="n">
        <v>46286</v>
      </c>
      <c r="F339" t="inlineStr">
        <is>
          <t>ÖSTERGÖTLANDS LÄN</t>
        </is>
      </c>
      <c r="G339" t="inlineStr">
        <is>
          <t>SÖDERKÖPING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45849</v>
      </c>
      <c r="E340" s="1" t="n">
        <v>46286</v>
      </c>
      <c r="F340" t="inlineStr">
        <is>
          <t>ÖSTERGÖTLANDS LÄN</t>
        </is>
      </c>
      <c r="G340" t="inlineStr">
        <is>
          <t>SÖDERKÖPING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45849</v>
      </c>
      <c r="E341" s="1" t="n">
        <v>46286</v>
      </c>
      <c r="F341" t="inlineStr">
        <is>
          <t>ÖSTERGÖTLANDS LÄN</t>
        </is>
      </c>
      <c r="G341" t="inlineStr">
        <is>
          <t>SÖDERKÖPING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46286</v>
      </c>
      <c r="F342" t="inlineStr">
        <is>
          <t>ÖSTERGÖTLANDS LÄN</t>
        </is>
      </c>
      <c r="G342" t="inlineStr">
        <is>
          <t>SÖDERKÖPING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45876</v>
      </c>
      <c r="E343" s="1" t="n">
        <v>46286</v>
      </c>
      <c r="F343" t="inlineStr">
        <is>
          <t>ÖSTERGÖTLANDS LÄN</t>
        </is>
      </c>
      <c r="G343" t="inlineStr">
        <is>
          <t>SÖDERKÖPING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37345-2025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46286</v>
      </c>
      <c r="F344" t="inlineStr">
        <is>
          <t>ÖSTERGÖTLANDS LÄN</t>
        </is>
      </c>
      <c r="G344" t="inlineStr">
        <is>
          <t>SÖDERKÖPING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4766-2024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45610</v>
      </c>
      <c r="E345" s="1" t="n">
        <v>46286</v>
      </c>
      <c r="F345" t="inlineStr">
        <is>
          <t>ÖSTERGÖTLANDS LÄN</t>
        </is>
      </c>
      <c r="G345" t="inlineStr">
        <is>
          <t>SÖDERKÖPING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3958-2024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45567</v>
      </c>
      <c r="E346" s="1" t="n">
        <v>46286</v>
      </c>
      <c r="F346" t="inlineStr">
        <is>
          <t>ÖSTERGÖTLANDS LÄN</t>
        </is>
      </c>
      <c r="G346" t="inlineStr">
        <is>
          <t>SÖDERKÖPING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4052-2023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45246</v>
      </c>
      <c r="E347" s="1" t="n">
        <v>46286</v>
      </c>
      <c r="F347" t="inlineStr">
        <is>
          <t>ÖSTERGÖTLANDS LÄN</t>
        </is>
      </c>
      <c r="G347" t="inlineStr">
        <is>
          <t>SÖDERKÖPING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1568-2024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45426</v>
      </c>
      <c r="E348" s="1" t="n">
        <v>46286</v>
      </c>
      <c r="F348" t="inlineStr">
        <is>
          <t>ÖSTERGÖTLANDS LÄN</t>
        </is>
      </c>
      <c r="G348" t="inlineStr">
        <is>
          <t>SÖDERKÖPING</t>
        </is>
      </c>
      <c r="I348" t="n">
        <v>29.3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3312-2023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45195</v>
      </c>
      <c r="E349" s="1" t="n">
        <v>46286</v>
      </c>
      <c r="F349" t="inlineStr">
        <is>
          <t>ÖSTERGÖTLANDS LÄN</t>
        </is>
      </c>
      <c r="G349" t="inlineStr">
        <is>
          <t>SÖDERKÖPING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1540-2026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46168</v>
      </c>
      <c r="E350" s="1" t="n">
        <v>46286</v>
      </c>
      <c r="F350" t="inlineStr">
        <is>
          <t>ÖSTERGÖTLANDS LÄN</t>
        </is>
      </c>
      <c r="G350" t="inlineStr">
        <is>
          <t>SÖDERKÖPING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2026-09-21T02:02:09Z</dcterms:created>
  <dcterms:modified xmlns:dcterms="http://purl.org/dc/terms/" xmlns:xsi="http://www.w3.org/2001/XMLSchema-instance" xsi:type="dcterms:W3CDTF">2026-09-21T02:02:09Z</dcterms:modified>
</cp:coreProperties>
</file>