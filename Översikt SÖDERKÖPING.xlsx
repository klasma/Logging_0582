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46204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46204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s="1" t="n">
        <v>46161</v>
      </c>
      <c r="C4" s="1" t="n">
        <v>46204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2.9</v>
      </c>
      <c r="H4" t="n">
        <v>2</v>
      </c>
      <c r="I4" t="n">
        <v>4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11</v>
      </c>
      <c r="R4" s="2" t="inlineStr">
        <is>
          <t>Gul taggsvamp
Knärot
Dropptaggsvamp
Dvärgbägarlav
Motaggsvamp
Vedskivlav
Blåmossa
Bronshjon
Grovticka
Grönpyrola
Tjäder</t>
        </is>
      </c>
      <c r="S4">
        <f>HYPERLINK("https://klasma.github.io/Logging_0582/artfynd/A 23127-2026 artfynd.xlsx", "A 23127-2026")</f>
        <v/>
      </c>
      <c r="T4">
        <f>HYPERLINK("https://klasma.github.io/Logging_0582/kartor/A 23127-2026 karta.png", "A 23127-2026")</f>
        <v/>
      </c>
      <c r="U4">
        <f>HYPERLINK("https://klasma.github.io/Logging_0582/knärot/A 23127-2026 karta knärot.png", "A 23127-2026")</f>
        <v/>
      </c>
      <c r="V4">
        <f>HYPERLINK("https://klasma.github.io/Logging_0582/klagomål/A 23127-2026 FSC-klagomål.docx", "A 23127-2026")</f>
        <v/>
      </c>
      <c r="W4">
        <f>HYPERLINK("https://klasma.github.io/Logging_0582/klagomålsmail/A 23127-2026 FSC-klagomål mail.docx", "A 23127-2026")</f>
        <v/>
      </c>
      <c r="X4">
        <f>HYPERLINK("https://klasma.github.io/Logging_0582/tillsyn/A 23127-2026 tillsynsbegäran.docx", "A 23127-2026")</f>
        <v/>
      </c>
      <c r="Y4">
        <f>HYPERLINK("https://klasma.github.io/Logging_0582/tillsynsmail/A 23127-2026 tillsynsbegäran mail.docx", "A 23127-2026")</f>
        <v/>
      </c>
      <c r="Z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s="1" t="n">
        <v>46161</v>
      </c>
      <c r="C5" s="1" t="n">
        <v>46204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2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Dropptaggsvamp
Dvärgbägarlav
Motaggsvamp
Vedskivlav
Blodticka
Blåmossa
Flagellkvastmossa
Grönpyrola
Mindre märgborre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U5">
        <f>HYPERLINK("https://klasma.github.io/Logging_0582/knärot/A 23061-2026 karta knärot.png",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s="1" t="n">
        <v>46185</v>
      </c>
      <c r="C6" s="1" t="n">
        <v>46204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2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Gyllensopp
Gullklubba
Kandelabersvamp
Persiljespindling
Svart skogssnigel
Björksplintborre
Noshornsoxe
Rävticka
Vanlig groda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s="1" t="n">
        <v>44644</v>
      </c>
      <c r="C7" s="1" t="n">
        <v>46204</v>
      </c>
      <c r="D7" t="inlineStr">
        <is>
          <t>ÖSTERGÖTLANDS LÄN</t>
        </is>
      </c>
      <c r="E7" t="inlineStr">
        <is>
          <t>SÖDERKÖPING</t>
        </is>
      </c>
      <c r="G7" t="n">
        <v>3.1</v>
      </c>
      <c r="H7" t="n">
        <v>1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Gammelekslav
Oxtungssvamp
Reliktbock
Rosa skärelav
Skuggorangelav
Tallticka
Blåmossa
Gullviva</t>
        </is>
      </c>
      <c r="S7">
        <f>HYPERLINK("https://klasma.github.io/Logging_0582/artfynd/A 13129-2022 artfynd.xlsx", "A 13129-2022")</f>
        <v/>
      </c>
      <c r="T7">
        <f>HYPERLINK("https://klasma.github.io/Logging_0582/kartor/A 13129-2022 karta.png", "A 13129-2022")</f>
        <v/>
      </c>
      <c r="V7">
        <f>HYPERLINK("https://klasma.github.io/Logging_0582/klagomål/A 13129-2022 FSC-klagomål.docx", "A 13129-2022")</f>
        <v/>
      </c>
      <c r="W7">
        <f>HYPERLINK("https://klasma.github.io/Logging_0582/klagomålsmail/A 13129-2022 FSC-klagomål mail.docx", "A 13129-2022")</f>
        <v/>
      </c>
      <c r="X7">
        <f>HYPERLINK("https://klasma.github.io/Logging_0582/tillsyn/A 13129-2022 tillsynsbegäran.docx", "A 13129-2022")</f>
        <v/>
      </c>
      <c r="Y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s="1" t="n">
        <v>45244</v>
      </c>
      <c r="C8" s="1" t="n">
        <v>46204</v>
      </c>
      <c r="D8" t="inlineStr">
        <is>
          <t>ÖSTERGÖTLANDS LÄN</t>
        </is>
      </c>
      <c r="E8" t="inlineStr">
        <is>
          <t>SÖDERKÖPING</t>
        </is>
      </c>
      <c r="G8" t="n">
        <v>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Gammelekslav
Gul dropplav
Grå skärelav
Gulpudrad spiklav
Rostfläck</t>
        </is>
      </c>
      <c r="S8">
        <f>HYPERLINK("https://klasma.github.io/Logging_0582/artfynd/A 56879-2023 artfynd.xlsx", "A 56879-2023")</f>
        <v/>
      </c>
      <c r="T8">
        <f>HYPERLINK("https://klasma.github.io/Logging_0582/kartor/A 56879-2023 karta.png", "A 56879-2023")</f>
        <v/>
      </c>
      <c r="V8">
        <f>HYPERLINK("https://klasma.github.io/Logging_0582/klagomål/A 56879-2023 FSC-klagomål.docx", "A 56879-2023")</f>
        <v/>
      </c>
      <c r="W8">
        <f>HYPERLINK("https://klasma.github.io/Logging_0582/klagomålsmail/A 56879-2023 FSC-klagomål mail.docx", "A 56879-2023")</f>
        <v/>
      </c>
      <c r="X8">
        <f>HYPERLINK("https://klasma.github.io/Logging_0582/tillsyn/A 56879-2023 tillsynsbegäran.docx", "A 56879-2023")</f>
        <v/>
      </c>
      <c r="Y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s="1" t="n">
        <v>46161</v>
      </c>
      <c r="C9" s="1" t="n">
        <v>46204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1.4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Hyacintvaxskivling
Kattfotslav
Brandticka
Glansfläck
Skriftlav</t>
        </is>
      </c>
      <c r="S9">
        <f>HYPERLINK("https://klasma.github.io/Logging_0582/artfynd/A 23100-2026 artfynd.xlsx", "A 23100-2026")</f>
        <v/>
      </c>
      <c r="T9">
        <f>HYPERLINK("https://klasma.github.io/Logging_0582/kartor/A 23100-2026 karta.png", "A 23100-2026")</f>
        <v/>
      </c>
      <c r="V9">
        <f>HYPERLINK("https://klasma.github.io/Logging_0582/klagomål/A 23100-2026 FSC-klagomål.docx", "A 23100-2026")</f>
        <v/>
      </c>
      <c r="W9">
        <f>HYPERLINK("https://klasma.github.io/Logging_0582/klagomålsmail/A 23100-2026 FSC-klagomål mail.docx", "A 23100-2026")</f>
        <v/>
      </c>
      <c r="X9">
        <f>HYPERLINK("https://klasma.github.io/Logging_0582/tillsyn/A 23100-2026 tillsynsbegäran.docx", "A 23100-2026")</f>
        <v/>
      </c>
      <c r="Y9">
        <f>HYPERLINK("https://klasma.github.io/Logging_0582/tillsynsmail/A 23100-2026 tillsynsbegäran mail.docx", "A 23100-2026")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46204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Skogsalm
Backklöver
Jungfrulin
Svinrot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26935-2026</t>
        </is>
      </c>
      <c r="B11" s="1" t="n">
        <v>46185</v>
      </c>
      <c r="C11" s="1" t="n">
        <v>46204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0.8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Gyllensopp
Persiljespindling
Vanlig groda
Vanlig padda</t>
        </is>
      </c>
      <c r="S11">
        <f>HYPERLINK("https://klasma.github.io/Logging_0582/artfynd/A 26935-2026 artfynd.xlsx", "A 26935-2026")</f>
        <v/>
      </c>
      <c r="T11">
        <f>HYPERLINK("https://klasma.github.io/Logging_0582/kartor/A 26935-2026 karta.png", "A 26935-2026")</f>
        <v/>
      </c>
      <c r="V11">
        <f>HYPERLINK("https://klasma.github.io/Logging_0582/klagomål/A 26935-2026 FSC-klagomål.docx", "A 26935-2026")</f>
        <v/>
      </c>
      <c r="W11">
        <f>HYPERLINK("https://klasma.github.io/Logging_0582/klagomålsmail/A 26935-2026 FSC-klagomål mail.docx", "A 26935-2026")</f>
        <v/>
      </c>
      <c r="X11">
        <f>HYPERLINK("https://klasma.github.io/Logging_0582/tillsyn/A 26935-2026 tillsynsbegäran.docx", "A 26935-2026")</f>
        <v/>
      </c>
      <c r="Y11">
        <f>HYPERLINK("https://klasma.github.io/Logging_0582/tillsynsmail/A 26935-2026 tillsynsbegäran mail.docx", "A 26935-2026")</f>
        <v/>
      </c>
    </row>
    <row r="12" ht="15" customHeight="1">
      <c r="A12" t="inlineStr">
        <is>
          <t>A 23756-2026</t>
        </is>
      </c>
      <c r="B12" s="1" t="n">
        <v>46164</v>
      </c>
      <c r="C12" s="1" t="n">
        <v>46204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Holmen skog AB</t>
        </is>
      </c>
      <c r="G12" t="n">
        <v>2.3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Blompraktbagge
Tjäder</t>
        </is>
      </c>
      <c r="S12">
        <f>HYPERLINK("https://klasma.github.io/Logging_0582/artfynd/A 23756-2026 artfynd.xlsx", "A 23756-2026")</f>
        <v/>
      </c>
      <c r="T12">
        <f>HYPERLINK("https://klasma.github.io/Logging_0582/kartor/A 23756-2026 karta.png", "A 23756-2026")</f>
        <v/>
      </c>
      <c r="V12">
        <f>HYPERLINK("https://klasma.github.io/Logging_0582/klagomål/A 23756-2026 FSC-klagomål.docx", "A 23756-2026")</f>
        <v/>
      </c>
      <c r="W12">
        <f>HYPERLINK("https://klasma.github.io/Logging_0582/klagomålsmail/A 23756-2026 FSC-klagomål mail.docx", "A 23756-2026")</f>
        <v/>
      </c>
      <c r="X12">
        <f>HYPERLINK("https://klasma.github.io/Logging_0582/tillsyn/A 23756-2026 tillsynsbegäran.docx", "A 23756-2026")</f>
        <v/>
      </c>
      <c r="Y12">
        <f>HYPERLINK("https://klasma.github.io/Logging_0582/tillsynsmail/A 23756-2026 tillsynsbegäran mail.docx", "A 23756-2026")</f>
        <v/>
      </c>
      <c r="Z12">
        <f>HYPERLINK("https://klasma.github.io/Logging_0582/fåglar/A 23756-2026 prioriterade fågelarter.docx", "A 23756-2026")</f>
        <v/>
      </c>
    </row>
    <row r="13" ht="15" customHeight="1">
      <c r="A13" t="inlineStr">
        <is>
          <t>A 30438-2022</t>
        </is>
      </c>
      <c r="B13" s="1" t="n">
        <v>44761</v>
      </c>
      <c r="C13" s="1" t="n">
        <v>46204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Större brunfladdermus</t>
        </is>
      </c>
      <c r="S13">
        <f>HYPERLINK("https://klasma.github.io/Logging_0582/artfynd/A 30438-2022 artfynd.xlsx", "A 30438-2022")</f>
        <v/>
      </c>
      <c r="T13">
        <f>HYPERLINK("https://klasma.github.io/Logging_0582/kartor/A 30438-2022 karta.png", "A 30438-2022")</f>
        <v/>
      </c>
      <c r="V13">
        <f>HYPERLINK("https://klasma.github.io/Logging_0582/klagomål/A 30438-2022 FSC-klagomål.docx", "A 30438-2022")</f>
        <v/>
      </c>
      <c r="W13">
        <f>HYPERLINK("https://klasma.github.io/Logging_0582/klagomålsmail/A 30438-2022 FSC-klagomål mail.docx", "A 30438-2022")</f>
        <v/>
      </c>
      <c r="X13">
        <f>HYPERLINK("https://klasma.github.io/Logging_0582/tillsyn/A 30438-2022 tillsynsbegäran.docx", "A 30438-2022")</f>
        <v/>
      </c>
      <c r="Y13">
        <f>HYPERLINK("https://klasma.github.io/Logging_0582/tillsynsmail/A 30438-2022 tillsynsbegäran mail.docx", "A 30438-2022")</f>
        <v/>
      </c>
    </row>
    <row r="14" ht="15" customHeight="1">
      <c r="A14" t="inlineStr">
        <is>
          <t>A 7879-2023</t>
        </is>
      </c>
      <c r="B14" s="1" t="n">
        <v>44973</v>
      </c>
      <c r="C14" s="1" t="n">
        <v>46204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Korskovall</t>
        </is>
      </c>
      <c r="S14">
        <f>HYPERLINK("https://klasma.github.io/Logging_0582/artfynd/A 7879-2023 artfynd.xlsx", "A 7879-2023")</f>
        <v/>
      </c>
      <c r="T14">
        <f>HYPERLINK("https://klasma.github.io/Logging_0582/kartor/A 7879-2023 karta.png", "A 7879-2023")</f>
        <v/>
      </c>
      <c r="V14">
        <f>HYPERLINK("https://klasma.github.io/Logging_0582/klagomål/A 7879-2023 FSC-klagomål.docx", "A 7879-2023")</f>
        <v/>
      </c>
      <c r="W14">
        <f>HYPERLINK("https://klasma.github.io/Logging_0582/klagomålsmail/A 7879-2023 FSC-klagomål mail.docx", "A 7879-2023")</f>
        <v/>
      </c>
      <c r="X14">
        <f>HYPERLINK("https://klasma.github.io/Logging_0582/tillsyn/A 7879-2023 tillsynsbegäran.docx", "A 7879-2023")</f>
        <v/>
      </c>
      <c r="Y14">
        <f>HYPERLINK("https://klasma.github.io/Logging_0582/tillsynsmail/A 7879-2023 tillsynsbegäran mail.docx", "A 7879-2023")</f>
        <v/>
      </c>
    </row>
    <row r="15" ht="15" customHeight="1">
      <c r="A15" t="inlineStr">
        <is>
          <t>A 37183-2025</t>
        </is>
      </c>
      <c r="B15" s="1" t="n">
        <v>45875</v>
      </c>
      <c r="C15" s="1" t="n">
        <v>46204</v>
      </c>
      <c r="D15" t="inlineStr">
        <is>
          <t>ÖSTERGÖTLANDS LÄN</t>
        </is>
      </c>
      <c r="E15" t="inlineStr">
        <is>
          <t>SÖDERKÖPING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Vanlig padda</t>
        </is>
      </c>
      <c r="S15">
        <f>HYPERLINK("https://klasma.github.io/Logging_0582/artfynd/A 37183-2025 artfynd.xlsx", "A 37183-2025")</f>
        <v/>
      </c>
      <c r="T15">
        <f>HYPERLINK("https://klasma.github.io/Logging_0582/kartor/A 37183-2025 karta.png", "A 37183-2025")</f>
        <v/>
      </c>
      <c r="V15">
        <f>HYPERLINK("https://klasma.github.io/Logging_0582/klagomål/A 37183-2025 FSC-klagomål.docx", "A 37183-2025")</f>
        <v/>
      </c>
      <c r="W15">
        <f>HYPERLINK("https://klasma.github.io/Logging_0582/klagomålsmail/A 37183-2025 FSC-klagomål mail.docx", "A 37183-2025")</f>
        <v/>
      </c>
      <c r="X15">
        <f>HYPERLINK("https://klasma.github.io/Logging_0582/tillsyn/A 37183-2025 tillsynsbegäran.docx", "A 37183-2025")</f>
        <v/>
      </c>
      <c r="Y15">
        <f>HYPERLINK("https://klasma.github.io/Logging_0582/tillsynsmail/A 37183-2025 tillsynsbegäran mail.docx", "A 37183-2025")</f>
        <v/>
      </c>
    </row>
    <row r="16" ht="15" customHeight="1">
      <c r="A16" t="inlineStr">
        <is>
          <t>A 21648-2023</t>
        </is>
      </c>
      <c r="B16" s="1" t="n">
        <v>45063</v>
      </c>
      <c r="C16" s="1" t="n">
        <v>46204</v>
      </c>
      <c r="D16" t="inlineStr">
        <is>
          <t>ÖSTERGÖTLANDS LÄN</t>
        </is>
      </c>
      <c r="E16" t="inlineStr">
        <is>
          <t>SÖDERKÖPING</t>
        </is>
      </c>
      <c r="G16" t="n">
        <v>3.2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Hasselsnok
Kopparödla</t>
        </is>
      </c>
      <c r="S16">
        <f>HYPERLINK("https://klasma.github.io/Logging_0582/artfynd/A 21648-2023 artfynd.xlsx", "A 21648-2023")</f>
        <v/>
      </c>
      <c r="T16">
        <f>HYPERLINK("https://klasma.github.io/Logging_0582/kartor/A 21648-2023 karta.png", "A 21648-2023")</f>
        <v/>
      </c>
      <c r="V16">
        <f>HYPERLINK("https://klasma.github.io/Logging_0582/klagomål/A 21648-2023 FSC-klagomål.docx", "A 21648-2023")</f>
        <v/>
      </c>
      <c r="W16">
        <f>HYPERLINK("https://klasma.github.io/Logging_0582/klagomålsmail/A 21648-2023 FSC-klagomål mail.docx", "A 21648-2023")</f>
        <v/>
      </c>
      <c r="X16">
        <f>HYPERLINK("https://klasma.github.io/Logging_0582/tillsyn/A 21648-2023 tillsynsbegäran.docx", "A 21648-2023")</f>
        <v/>
      </c>
      <c r="Y16">
        <f>HYPERLINK("https://klasma.github.io/Logging_0582/tillsynsmail/A 21648-2023 tillsynsbegäran mail.docx", "A 21648-2023")</f>
        <v/>
      </c>
    </row>
    <row r="17" ht="15" customHeight="1">
      <c r="A17" t="inlineStr">
        <is>
          <t>A 394-2026</t>
        </is>
      </c>
      <c r="B17" s="1" t="n">
        <v>46028</v>
      </c>
      <c r="C17" s="1" t="n">
        <v>46204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Igelkottsröksvamp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21042-2026</t>
        </is>
      </c>
      <c r="B18" s="1" t="n">
        <v>46146</v>
      </c>
      <c r="C18" s="1" t="n">
        <v>46204</v>
      </c>
      <c r="D18" t="inlineStr">
        <is>
          <t>ÖSTERGÖTLANDS LÄN</t>
        </is>
      </c>
      <c r="E18" t="inlineStr">
        <is>
          <t>SÖDERKÖPING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dropplav
Gulpudrad spiklav</t>
        </is>
      </c>
      <c r="S18">
        <f>HYPERLINK("https://klasma.github.io/Logging_0582/artfynd/A 21042-2026 artfynd.xlsx", "A 21042-2026")</f>
        <v/>
      </c>
      <c r="T18">
        <f>HYPERLINK("https://klasma.github.io/Logging_0582/kartor/A 21042-2026 karta.png", "A 21042-2026")</f>
        <v/>
      </c>
      <c r="V18">
        <f>HYPERLINK("https://klasma.github.io/Logging_0582/klagomål/A 21042-2026 FSC-klagomål.docx", "A 21042-2026")</f>
        <v/>
      </c>
      <c r="W18">
        <f>HYPERLINK("https://klasma.github.io/Logging_0582/klagomålsmail/A 21042-2026 FSC-klagomål mail.docx", "A 21042-2026")</f>
        <v/>
      </c>
      <c r="X18">
        <f>HYPERLINK("https://klasma.github.io/Logging_0582/tillsyn/A 21042-2026 tillsynsbegäran.docx", "A 21042-2026")</f>
        <v/>
      </c>
      <c r="Y18">
        <f>HYPERLINK("https://klasma.github.io/Logging_0582/tillsynsmail/A 21042-2026 tillsynsbegäran mail.docx", "A 21042-2026")</f>
        <v/>
      </c>
    </row>
    <row r="19" ht="15" customHeight="1">
      <c r="A19" t="inlineStr">
        <is>
          <t>A 49366-2023</t>
        </is>
      </c>
      <c r="B19" s="1" t="n">
        <v>45211</v>
      </c>
      <c r="C19" s="1" t="n">
        <v>46204</v>
      </c>
      <c r="D19" t="inlineStr">
        <is>
          <t>ÖSTERGÖTLANDS LÄN</t>
        </is>
      </c>
      <c r="E19" t="inlineStr">
        <is>
          <t>SÖDERKÖPING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Krusfrö
Sångsvan</t>
        </is>
      </c>
      <c r="S19">
        <f>HYPERLINK("https://klasma.github.io/Logging_0582/artfynd/A 49366-2023 artfynd.xlsx", "A 49366-2023")</f>
        <v/>
      </c>
      <c r="T19">
        <f>HYPERLINK("https://klasma.github.io/Logging_0582/kartor/A 49366-2023 karta.png", "A 49366-2023")</f>
        <v/>
      </c>
      <c r="V19">
        <f>HYPERLINK("https://klasma.github.io/Logging_0582/klagomål/A 49366-2023 FSC-klagomål.docx", "A 49366-2023")</f>
        <v/>
      </c>
      <c r="W19">
        <f>HYPERLINK("https://klasma.github.io/Logging_0582/klagomålsmail/A 49366-2023 FSC-klagomål mail.docx", "A 49366-2023")</f>
        <v/>
      </c>
      <c r="X19">
        <f>HYPERLINK("https://klasma.github.io/Logging_0582/tillsyn/A 49366-2023 tillsynsbegäran.docx", "A 49366-2023")</f>
        <v/>
      </c>
      <c r="Y19">
        <f>HYPERLINK("https://klasma.github.io/Logging_0582/tillsynsmail/A 49366-2023 tillsynsbegäran mail.docx", "A 49366-2023")</f>
        <v/>
      </c>
      <c r="Z19">
        <f>HYPERLINK("https://klasma.github.io/Logging_0582/fåglar/A 49366-2023 prioriterade fågelarter.docx", "A 49366-2023")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46204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354-2024</t>
        </is>
      </c>
      <c r="B21" s="1" t="n">
        <v>45295</v>
      </c>
      <c r="C21" s="1" t="n">
        <v>46204</v>
      </c>
      <c r="D21" t="inlineStr">
        <is>
          <t>ÖSTERGÖTLANDS LÄN</t>
        </is>
      </c>
      <c r="E21" t="inlineStr">
        <is>
          <t>SÖDERKÖPING</t>
        </is>
      </c>
      <c r="G21" t="n">
        <v>10.2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HYPERLINK("https://klasma.github.io/Logging_0582/artfynd/A 354-2024 artfynd.xlsx", "A 354-2024")</f>
        <v/>
      </c>
      <c r="T21">
        <f>HYPERLINK("https://klasma.github.io/Logging_0582/kartor/A 354-2024 karta.png", "A 354-2024")</f>
        <v/>
      </c>
      <c r="V21">
        <f>HYPERLINK("https://klasma.github.io/Logging_0582/klagomål/A 354-2024 FSC-klagomål.docx", "A 354-2024")</f>
        <v/>
      </c>
      <c r="W21">
        <f>HYPERLINK("https://klasma.github.io/Logging_0582/klagomålsmail/A 354-2024 FSC-klagomål mail.docx", "A 354-2024")</f>
        <v/>
      </c>
      <c r="X21">
        <f>HYPERLINK("https://klasma.github.io/Logging_0582/tillsyn/A 354-2024 tillsynsbegäran.docx", "A 354-2024")</f>
        <v/>
      </c>
      <c r="Y21">
        <f>HYPERLINK("https://klasma.github.io/Logging_0582/tillsynsmail/A 354-2024 tillsynsbegäran mail.docx", "A 354-2024")</f>
        <v/>
      </c>
    </row>
    <row r="22" ht="15" customHeight="1">
      <c r="A22" t="inlineStr">
        <is>
          <t>A 8156-2023</t>
        </is>
      </c>
      <c r="B22" s="1" t="n">
        <v>44974</v>
      </c>
      <c r="C22" s="1" t="n">
        <v>46204</v>
      </c>
      <c r="D22" t="inlineStr">
        <is>
          <t>ÖSTERGÖTLANDS LÄN</t>
        </is>
      </c>
      <c r="E22" t="inlineStr">
        <is>
          <t>SÖDERKÖPING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HYPERLINK("https://klasma.github.io/Logging_0582/artfynd/A 8156-2023 artfynd.xlsx", "A 8156-2023")</f>
        <v/>
      </c>
      <c r="T22">
        <f>HYPERLINK("https://klasma.github.io/Logging_0582/kartor/A 8156-2023 karta.png", "A 8156-2023")</f>
        <v/>
      </c>
      <c r="V22">
        <f>HYPERLINK("https://klasma.github.io/Logging_0582/klagomål/A 8156-2023 FSC-klagomål.docx", "A 8156-2023")</f>
        <v/>
      </c>
      <c r="W22">
        <f>HYPERLINK("https://klasma.github.io/Logging_0582/klagomålsmail/A 8156-2023 FSC-klagomål mail.docx", "A 8156-2023")</f>
        <v/>
      </c>
      <c r="X22">
        <f>HYPERLINK("https://klasma.github.io/Logging_0582/tillsyn/A 8156-2023 tillsynsbegäran.docx", "A 8156-2023")</f>
        <v/>
      </c>
      <c r="Y22">
        <f>HYPERLINK("https://klasma.github.io/Logging_0582/tillsynsmail/A 8156-2023 tillsynsbegäran mail.docx", "A 8156-2023")</f>
        <v/>
      </c>
    </row>
    <row r="23" ht="15" customHeight="1">
      <c r="A23" t="inlineStr">
        <is>
          <t>A 28549-2024</t>
        </is>
      </c>
      <c r="B23" s="1" t="n">
        <v>45478</v>
      </c>
      <c r="C23" s="1" t="n">
        <v>46204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HYPERLINK("https://klasma.github.io/Logging_0582/artfynd/A 28549-2024 artfynd.xlsx", "A 28549-2024")</f>
        <v/>
      </c>
      <c r="T23">
        <f>HYPERLINK("https://klasma.github.io/Logging_0582/kartor/A 28549-2024 karta.png", "A 28549-2024")</f>
        <v/>
      </c>
      <c r="V23">
        <f>HYPERLINK("https://klasma.github.io/Logging_0582/klagomål/A 28549-2024 FSC-klagomål.docx", "A 28549-2024")</f>
        <v/>
      </c>
      <c r="W23">
        <f>HYPERLINK("https://klasma.github.io/Logging_0582/klagomålsmail/A 28549-2024 FSC-klagomål mail.docx", "A 28549-2024")</f>
        <v/>
      </c>
      <c r="X23">
        <f>HYPERLINK("https://klasma.github.io/Logging_0582/tillsyn/A 28549-2024 tillsynsbegäran.docx", "A 28549-2024")</f>
        <v/>
      </c>
      <c r="Y23">
        <f>HYPERLINK("https://klasma.github.io/Logging_0582/tillsynsmail/A 28549-2024 tillsynsbegäran mail.docx", "A 28549-2024")</f>
        <v/>
      </c>
    </row>
    <row r="24" ht="15" customHeight="1">
      <c r="A24" t="inlineStr">
        <is>
          <t>A 8009-2026</t>
        </is>
      </c>
      <c r="B24" s="1" t="n">
        <v>46063</v>
      </c>
      <c r="C24" s="1" t="n">
        <v>46204</v>
      </c>
      <c r="D24" t="inlineStr">
        <is>
          <t>ÖSTERGÖTLANDS LÄN</t>
        </is>
      </c>
      <c r="E24" t="inlineStr">
        <is>
          <t>SÖDERKÖPING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HYPERLINK("https://klasma.github.io/Logging_0582/artfynd/A 8009-2026 artfynd.xlsx", "A 8009-2026")</f>
        <v/>
      </c>
      <c r="T24">
        <f>HYPERLINK("https://klasma.github.io/Logging_0582/kartor/A 8009-2026 karta.png", "A 8009-2026")</f>
        <v/>
      </c>
      <c r="V24">
        <f>HYPERLINK("https://klasma.github.io/Logging_0582/klagomål/A 8009-2026 FSC-klagomål.docx", "A 8009-2026")</f>
        <v/>
      </c>
      <c r="W24">
        <f>HYPERLINK("https://klasma.github.io/Logging_0582/klagomålsmail/A 8009-2026 FSC-klagomål mail.docx", "A 8009-2026")</f>
        <v/>
      </c>
      <c r="X24">
        <f>HYPERLINK("https://klasma.github.io/Logging_0582/tillsyn/A 8009-2026 tillsynsbegäran.docx", "A 8009-2026")</f>
        <v/>
      </c>
      <c r="Y24">
        <f>HYPERLINK("https://klasma.github.io/Logging_0582/tillsynsmail/A 8009-2026 tillsynsbegäran mail.docx", "A 8009-2026")</f>
        <v/>
      </c>
    </row>
    <row r="25" ht="15" customHeight="1">
      <c r="A25" t="inlineStr">
        <is>
          <t>A 10992-2026</t>
        </is>
      </c>
      <c r="B25" s="1" t="n">
        <v>46079</v>
      </c>
      <c r="C25" s="1" t="n">
        <v>46204</v>
      </c>
      <c r="D25" t="inlineStr">
        <is>
          <t>ÖSTERGÖTLANDS LÄN</t>
        </is>
      </c>
      <c r="E25" t="inlineStr">
        <is>
          <t>SÖDERKÖPING</t>
        </is>
      </c>
      <c r="F25" t="inlineStr">
        <is>
          <t>Kyrkan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HYPERLINK("https://klasma.github.io/Logging_0582/artfynd/A 10992-2026 artfynd.xlsx", "A 10992-2026")</f>
        <v/>
      </c>
      <c r="T25">
        <f>HYPERLINK("https://klasma.github.io/Logging_0582/kartor/A 10992-2026 karta.png", "A 10992-2026")</f>
        <v/>
      </c>
      <c r="V25">
        <f>HYPERLINK("https://klasma.github.io/Logging_0582/klagomål/A 10992-2026 FSC-klagomål.docx", "A 10992-2026")</f>
        <v/>
      </c>
      <c r="W25">
        <f>HYPERLINK("https://klasma.github.io/Logging_0582/klagomålsmail/A 10992-2026 FSC-klagomål mail.docx", "A 10992-2026")</f>
        <v/>
      </c>
      <c r="X25">
        <f>HYPERLINK("https://klasma.github.io/Logging_0582/tillsyn/A 10992-2026 tillsynsbegäran.docx", "A 10992-2026")</f>
        <v/>
      </c>
      <c r="Y25">
        <f>HYPERLINK("https://klasma.github.io/Logging_0582/tillsynsmail/A 10992-2026 tillsynsbegäran mail.docx", "A 10992-2026")</f>
        <v/>
      </c>
    </row>
    <row r="26" ht="15" customHeight="1">
      <c r="A26" t="inlineStr">
        <is>
          <t>A 30324-2024</t>
        </is>
      </c>
      <c r="B26" s="1" t="n">
        <v>45490</v>
      </c>
      <c r="C26" s="1" t="n">
        <v>46204</v>
      </c>
      <c r="D26" t="inlineStr">
        <is>
          <t>ÖSTERGÖTLANDS LÄN</t>
        </is>
      </c>
      <c r="E26" t="inlineStr">
        <is>
          <t>SÖDERKÖPING</t>
        </is>
      </c>
      <c r="G26" t="n">
        <v>10.9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HYPERLINK("https://klasma.github.io/Logging_0582/artfynd/A 30324-2024 artfynd.xlsx", "A 30324-2024")</f>
        <v/>
      </c>
      <c r="T26">
        <f>HYPERLINK("https://klasma.github.io/Logging_0582/kartor/A 30324-2024 karta.png", "A 30324-2024")</f>
        <v/>
      </c>
      <c r="V26">
        <f>HYPERLINK("https://klasma.github.io/Logging_0582/klagomål/A 30324-2024 FSC-klagomål.docx", "A 30324-2024")</f>
        <v/>
      </c>
      <c r="W26">
        <f>HYPERLINK("https://klasma.github.io/Logging_0582/klagomålsmail/A 30324-2024 FSC-klagomål mail.docx", "A 30324-2024")</f>
        <v/>
      </c>
      <c r="X26">
        <f>HYPERLINK("https://klasma.github.io/Logging_0582/tillsyn/A 30324-2024 tillsynsbegäran.docx", "A 30324-2024")</f>
        <v/>
      </c>
      <c r="Y26">
        <f>HYPERLINK("https://klasma.github.io/Logging_0582/tillsynsmail/A 30324-2024 tillsynsbegäran mail.docx", "A 30324-2024")</f>
        <v/>
      </c>
      <c r="Z26">
        <f>HYPERLINK("https://klasma.github.io/Logging_0582/fåglar/A 30324-2024 prioriterade fågelarter.docx", "A 30324-2024")</f>
        <v/>
      </c>
    </row>
    <row r="27" ht="15" customHeight="1">
      <c r="A27" t="inlineStr">
        <is>
          <t>A 17632-2026</t>
        </is>
      </c>
      <c r="B27" s="1" t="n">
        <v>46121</v>
      </c>
      <c r="C27" s="1" t="n">
        <v>46204</v>
      </c>
      <c r="D27" t="inlineStr">
        <is>
          <t>ÖSTERGÖTLANDS LÄN</t>
        </is>
      </c>
      <c r="E27" t="inlineStr">
        <is>
          <t>SÖDERKÖPING</t>
        </is>
      </c>
      <c r="G27" t="n">
        <v>3.3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HYPERLINK("https://klasma.github.io/Logging_0582/artfynd/A 17632-2026 artfynd.xlsx", "A 17632-2026")</f>
        <v/>
      </c>
      <c r="T27">
        <f>HYPERLINK("https://klasma.github.io/Logging_0582/kartor/A 17632-2026 karta.png", "A 17632-2026")</f>
        <v/>
      </c>
      <c r="V27">
        <f>HYPERLINK("https://klasma.github.io/Logging_0582/klagomål/A 17632-2026 FSC-klagomål.docx", "A 17632-2026")</f>
        <v/>
      </c>
      <c r="W27">
        <f>HYPERLINK("https://klasma.github.io/Logging_0582/klagomålsmail/A 17632-2026 FSC-klagomål mail.docx", "A 17632-2026")</f>
        <v/>
      </c>
      <c r="X27">
        <f>HYPERLINK("https://klasma.github.io/Logging_0582/tillsyn/A 17632-2026 tillsynsbegäran.docx", "A 17632-2026")</f>
        <v/>
      </c>
      <c r="Y27">
        <f>HYPERLINK("https://klasma.github.io/Logging_0582/tillsynsmail/A 17632-2026 tillsynsbegäran mail.docx", "A 17632-2026")</f>
        <v/>
      </c>
    </row>
    <row r="28" ht="15" customHeight="1">
      <c r="A28" t="inlineStr">
        <is>
          <t>A 50708-2024</t>
        </is>
      </c>
      <c r="B28" s="1" t="n">
        <v>45601</v>
      </c>
      <c r="C28" s="1" t="n">
        <v>46204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HYPERLINK("https://klasma.github.io/Logging_0582/artfynd/A 50708-2024 artfynd.xlsx", "A 50708-2024")</f>
        <v/>
      </c>
      <c r="T28">
        <f>HYPERLINK("https://klasma.github.io/Logging_0582/kartor/A 50708-2024 karta.png", "A 50708-2024")</f>
        <v/>
      </c>
      <c r="V28">
        <f>HYPERLINK("https://klasma.github.io/Logging_0582/klagomål/A 50708-2024 FSC-klagomål.docx", "A 50708-2024")</f>
        <v/>
      </c>
      <c r="W28">
        <f>HYPERLINK("https://klasma.github.io/Logging_0582/klagomålsmail/A 50708-2024 FSC-klagomål mail.docx", "A 50708-2024")</f>
        <v/>
      </c>
      <c r="X28">
        <f>HYPERLINK("https://klasma.github.io/Logging_0582/tillsyn/A 50708-2024 tillsynsbegäran.docx", "A 50708-2024")</f>
        <v/>
      </c>
      <c r="Y28">
        <f>HYPERLINK("https://klasma.github.io/Logging_0582/tillsynsmail/A 50708-2024 tillsynsbegäran mail.docx", "A 50708-2024")</f>
        <v/>
      </c>
    </row>
    <row r="29" ht="15" customHeight="1">
      <c r="A29" t="inlineStr">
        <is>
          <t>A 20269-2026</t>
        </is>
      </c>
      <c r="B29" s="1" t="n">
        <v>46139</v>
      </c>
      <c r="C29" s="1" t="n">
        <v>46204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Kösa</t>
        </is>
      </c>
      <c r="S29">
        <f>HYPERLINK("https://klasma.github.io/Logging_0582/artfynd/A 20269-2026 artfynd.xlsx", "A 20269-2026")</f>
        <v/>
      </c>
      <c r="T29">
        <f>HYPERLINK("https://klasma.github.io/Logging_0582/kartor/A 20269-2026 karta.png", "A 20269-2026")</f>
        <v/>
      </c>
      <c r="V29">
        <f>HYPERLINK("https://klasma.github.io/Logging_0582/klagomål/A 20269-2026 FSC-klagomål.docx", "A 20269-2026")</f>
        <v/>
      </c>
      <c r="W29">
        <f>HYPERLINK("https://klasma.github.io/Logging_0582/klagomålsmail/A 20269-2026 FSC-klagomål mail.docx", "A 20269-2026")</f>
        <v/>
      </c>
      <c r="X29">
        <f>HYPERLINK("https://klasma.github.io/Logging_0582/tillsyn/A 20269-2026 tillsynsbegäran.docx", "A 20269-2026")</f>
        <v/>
      </c>
      <c r="Y29">
        <f>HYPERLINK("https://klasma.github.io/Logging_0582/tillsynsmail/A 20269-2026 tillsynsbegäran mail.docx", "A 20269-2026")</f>
        <v/>
      </c>
    </row>
    <row r="30" ht="15" customHeight="1">
      <c r="A30" t="inlineStr">
        <is>
          <t>A 4709-2025</t>
        </is>
      </c>
      <c r="B30" s="1" t="n">
        <v>45688</v>
      </c>
      <c r="C30" s="1" t="n">
        <v>46204</v>
      </c>
      <c r="D30" t="inlineStr">
        <is>
          <t>ÖSTERGÖTLANDS LÄN</t>
        </is>
      </c>
      <c r="E30" t="inlineStr">
        <is>
          <t>SÖDERKÖPING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HYPERLINK("https://klasma.github.io/Logging_0582/artfynd/A 4709-2025 artfynd.xlsx", "A 4709-2025")</f>
        <v/>
      </c>
      <c r="T30">
        <f>HYPERLINK("https://klasma.github.io/Logging_0582/kartor/A 4709-2025 karta.png", "A 4709-2025")</f>
        <v/>
      </c>
      <c r="V30">
        <f>HYPERLINK("https://klasma.github.io/Logging_0582/klagomål/A 4709-2025 FSC-klagomål.docx", "A 4709-2025")</f>
        <v/>
      </c>
      <c r="W30">
        <f>HYPERLINK("https://klasma.github.io/Logging_0582/klagomålsmail/A 4709-2025 FSC-klagomål mail.docx", "A 4709-2025")</f>
        <v/>
      </c>
      <c r="X30">
        <f>HYPERLINK("https://klasma.github.io/Logging_0582/tillsyn/A 4709-2025 tillsynsbegäran.docx", "A 4709-2025")</f>
        <v/>
      </c>
      <c r="Y30">
        <f>HYPERLINK("https://klasma.github.io/Logging_0582/tillsynsmail/A 4709-2025 tillsynsbegäran mail.docx", "A 4709-2025")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46204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46204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46204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46204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46204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46204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46204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46204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19338-2022</t>
        </is>
      </c>
      <c r="B39" s="1" t="n">
        <v>44692</v>
      </c>
      <c r="C39" s="1" t="n">
        <v>46204</v>
      </c>
      <c r="D39" t="inlineStr">
        <is>
          <t>ÖSTERGÖTLANDS LÄN</t>
        </is>
      </c>
      <c r="E39" t="inlineStr">
        <is>
          <t>SÖDERKÖPING</t>
        </is>
      </c>
      <c r="F39" t="inlineStr">
        <is>
          <t>Kommuner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56678-2021</t>
        </is>
      </c>
      <c r="B40" s="1" t="n">
        <v>44481</v>
      </c>
      <c r="C40" s="1" t="n">
        <v>46204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49823-2022</t>
        </is>
      </c>
      <c r="B41" s="1" t="n">
        <v>44862</v>
      </c>
      <c r="C41" s="1" t="n">
        <v>46204</v>
      </c>
      <c r="D41" t="inlineStr">
        <is>
          <t>ÖSTERGÖTLANDS LÄN</t>
        </is>
      </c>
      <c r="E41" t="inlineStr">
        <is>
          <t>SÖDERKÖPING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52451-2022</t>
        </is>
      </c>
      <c r="B42" s="1" t="n">
        <v>44874</v>
      </c>
      <c r="C42" s="1" t="n">
        <v>46204</v>
      </c>
      <c r="D42" t="inlineStr">
        <is>
          <t>ÖSTERGÖTLANDS LÄN</t>
        </is>
      </c>
      <c r="E42" t="inlineStr">
        <is>
          <t>SÖDERKÖPING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46204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46204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46204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46204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46204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46204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611-2022</t>
        </is>
      </c>
      <c r="B49" s="1" t="n">
        <v>44567</v>
      </c>
      <c r="C49" s="1" t="n">
        <v>46204</v>
      </c>
      <c r="D49" t="inlineStr">
        <is>
          <t>ÖSTERGÖTLANDS LÄN</t>
        </is>
      </c>
      <c r="E49" t="inlineStr">
        <is>
          <t>SÖDERKÖPING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23774-2022</t>
        </is>
      </c>
      <c r="B50" s="1" t="n">
        <v>44722</v>
      </c>
      <c r="C50" s="1" t="n">
        <v>46204</v>
      </c>
      <c r="D50" t="inlineStr">
        <is>
          <t>ÖSTERGÖTLANDS LÄN</t>
        </is>
      </c>
      <c r="E50" t="inlineStr">
        <is>
          <t>SÖDERKÖPING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59415-2021</t>
        </is>
      </c>
      <c r="B51" s="1" t="n">
        <v>44491</v>
      </c>
      <c r="C51" s="1" t="n">
        <v>46204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39517-2021</t>
        </is>
      </c>
      <c r="B52" s="1" t="n">
        <v>44414</v>
      </c>
      <c r="C52" s="1" t="n">
        <v>46204</v>
      </c>
      <c r="D52" t="inlineStr">
        <is>
          <t>ÖSTERGÖTLANDS LÄN</t>
        </is>
      </c>
      <c r="E52" t="inlineStr">
        <is>
          <t>SÖDERKÖPING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34166-2021</t>
        </is>
      </c>
      <c r="B53" s="1" t="n">
        <v>44379</v>
      </c>
      <c r="C53" s="1" t="n">
        <v>46204</v>
      </c>
      <c r="D53" t="inlineStr">
        <is>
          <t>ÖSTERGÖTLANDS LÄN</t>
        </is>
      </c>
      <c r="E53" t="inlineStr">
        <is>
          <t>SÖDERKÖPING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23767-2022</t>
        </is>
      </c>
      <c r="B54" s="1" t="n">
        <v>44721</v>
      </c>
      <c r="C54" s="1" t="n">
        <v>46204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</v>
      </c>
      <c r="C55" s="1" t="n">
        <v>46204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52465-2022</t>
        </is>
      </c>
      <c r="B56" s="1" t="n">
        <v>44874</v>
      </c>
      <c r="C56" s="1" t="n">
        <v>46204</v>
      </c>
      <c r="D56" t="inlineStr">
        <is>
          <t>ÖSTERGÖTLANDS LÄN</t>
        </is>
      </c>
      <c r="E56" t="inlineStr">
        <is>
          <t>SÖDERKÖPING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</v>
      </c>
      <c r="C57" s="1" t="n">
        <v>46204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46204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66356-2021</t>
        </is>
      </c>
      <c r="B59" s="1" t="n">
        <v>44518</v>
      </c>
      <c r="C59" s="1" t="n">
        <v>46204</v>
      </c>
      <c r="D59" t="inlineStr">
        <is>
          <t>ÖSTERGÖTLANDS LÄN</t>
        </is>
      </c>
      <c r="E59" t="inlineStr">
        <is>
          <t>SÖDERKÖPING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46204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46204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46204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</v>
      </c>
      <c r="C63" s="1" t="n">
        <v>46204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46204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26594-2023</t>
        </is>
      </c>
      <c r="B65" s="1" t="n">
        <v>45092</v>
      </c>
      <c r="C65" s="1" t="n">
        <v>46204</v>
      </c>
      <c r="D65" t="inlineStr">
        <is>
          <t>ÖSTERGÖTLANDS LÄN</t>
        </is>
      </c>
      <c r="E65" t="inlineStr">
        <is>
          <t>SÖDERKÖPING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48395-2021</t>
        </is>
      </c>
      <c r="B66" s="1" t="n">
        <v>44452</v>
      </c>
      <c r="C66" s="1" t="n">
        <v>46204</v>
      </c>
      <c r="D66" t="inlineStr">
        <is>
          <t>ÖSTERGÖTLANDS LÄN</t>
        </is>
      </c>
      <c r="E66" t="inlineStr">
        <is>
          <t>SÖDERKÖPING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63392-2021</t>
        </is>
      </c>
      <c r="B67" s="1" t="n">
        <v>44508</v>
      </c>
      <c r="C67" s="1" t="n">
        <v>46204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50873-2023</t>
        </is>
      </c>
      <c r="B68" s="1" t="n">
        <v>45218</v>
      </c>
      <c r="C68" s="1" t="n">
        <v>46204</v>
      </c>
      <c r="D68" t="inlineStr">
        <is>
          <t>ÖSTERGÖTLANDS LÄN</t>
        </is>
      </c>
      <c r="E68" t="inlineStr">
        <is>
          <t>SÖDERKÖPING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9002-2023</t>
        </is>
      </c>
      <c r="B69" s="1" t="n">
        <v>44979</v>
      </c>
      <c r="C69" s="1" t="n">
        <v>46204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26915-2023</t>
        </is>
      </c>
      <c r="B70" s="1" t="n">
        <v>45093</v>
      </c>
      <c r="C70" s="1" t="n">
        <v>46204</v>
      </c>
      <c r="D70" t="inlineStr">
        <is>
          <t>ÖSTERGÖTLANDS LÄN</t>
        </is>
      </c>
      <c r="E70" t="inlineStr">
        <is>
          <t>SÖDERKÖPING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16417-2025</t>
        </is>
      </c>
      <c r="B71" s="1" t="n">
        <v>45751</v>
      </c>
      <c r="C71" s="1" t="n">
        <v>46204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61514-2023</t>
        </is>
      </c>
      <c r="B72" s="1" t="n">
        <v>45265</v>
      </c>
      <c r="C72" s="1" t="n">
        <v>46204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1399-2025</t>
        </is>
      </c>
      <c r="B73" s="1" t="n">
        <v>45667</v>
      </c>
      <c r="C73" s="1" t="n">
        <v>46204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5615-2023</t>
        </is>
      </c>
      <c r="B74" s="1" t="n">
        <v>44958</v>
      </c>
      <c r="C74" s="1" t="n">
        <v>46204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27464-2023</t>
        </is>
      </c>
      <c r="B75" s="1" t="n">
        <v>45097</v>
      </c>
      <c r="C75" s="1" t="n">
        <v>46204</v>
      </c>
      <c r="D75" t="inlineStr">
        <is>
          <t>ÖSTERGÖTLANDS LÄN</t>
        </is>
      </c>
      <c r="E75" t="inlineStr">
        <is>
          <t>SÖDERKÖPING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50866-2023</t>
        </is>
      </c>
      <c r="B76" s="1" t="n">
        <v>45218</v>
      </c>
      <c r="C76" s="1" t="n">
        <v>46204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13625-2025</t>
        </is>
      </c>
      <c r="B77" s="1" t="n">
        <v>45736</v>
      </c>
      <c r="C77" s="1" t="n">
        <v>46204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16286-2023</t>
        </is>
      </c>
      <c r="B78" s="1" t="n">
        <v>45028</v>
      </c>
      <c r="C78" s="1" t="n">
        <v>46204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61511-2023</t>
        </is>
      </c>
      <c r="B79" s="1" t="n">
        <v>45265</v>
      </c>
      <c r="C79" s="1" t="n">
        <v>46204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26432-2022</t>
        </is>
      </c>
      <c r="B80" s="1" t="n">
        <v>44736</v>
      </c>
      <c r="C80" s="1" t="n">
        <v>46204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60160-2021</t>
        </is>
      </c>
      <c r="B81" s="1" t="n">
        <v>44495</v>
      </c>
      <c r="C81" s="1" t="n">
        <v>46204</v>
      </c>
      <c r="D81" t="inlineStr">
        <is>
          <t>ÖSTERGÖTLANDS LÄN</t>
        </is>
      </c>
      <c r="E81" t="inlineStr">
        <is>
          <t>SÖDERKÖPING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20221-2023</t>
        </is>
      </c>
      <c r="B82" s="1" t="n">
        <v>45055</v>
      </c>
      <c r="C82" s="1" t="n">
        <v>46204</v>
      </c>
      <c r="D82" t="inlineStr">
        <is>
          <t>ÖSTERGÖTLANDS LÄN</t>
        </is>
      </c>
      <c r="E82" t="inlineStr">
        <is>
          <t>SÖDERKÖPING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410-2025</t>
        </is>
      </c>
      <c r="B83" s="1" t="n">
        <v>45663</v>
      </c>
      <c r="C83" s="1" t="n">
        <v>46204</v>
      </c>
      <c r="D83" t="inlineStr">
        <is>
          <t>ÖSTERGÖTLANDS LÄN</t>
        </is>
      </c>
      <c r="E83" t="inlineStr">
        <is>
          <t>SÖDERKÖPING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44819-2023</t>
        </is>
      </c>
      <c r="B84" s="1" t="n">
        <v>45190</v>
      </c>
      <c r="C84" s="1" t="n">
        <v>46204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46204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57349-2023</t>
        </is>
      </c>
      <c r="B86" s="1" t="n">
        <v>45245</v>
      </c>
      <c r="C86" s="1" t="n">
        <v>46204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51748-2023</t>
        </is>
      </c>
      <c r="B87" s="1" t="n">
        <v>45222</v>
      </c>
      <c r="C87" s="1" t="n">
        <v>46204</v>
      </c>
      <c r="D87" t="inlineStr">
        <is>
          <t>ÖSTERGÖTLANDS LÄN</t>
        </is>
      </c>
      <c r="E87" t="inlineStr">
        <is>
          <t>SÖDERKÖPING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37694-2023</t>
        </is>
      </c>
      <c r="B88" s="1" t="n">
        <v>45159</v>
      </c>
      <c r="C88" s="1" t="n">
        <v>46204</v>
      </c>
      <c r="D88" t="inlineStr">
        <is>
          <t>ÖSTERGÖTLANDS LÄN</t>
        </is>
      </c>
      <c r="E88" t="inlineStr">
        <is>
          <t>SÖDERKÖPING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29660-2022</t>
        </is>
      </c>
      <c r="B89" s="1" t="n">
        <v>44754</v>
      </c>
      <c r="C89" s="1" t="n">
        <v>46204</v>
      </c>
      <c r="D89" t="inlineStr">
        <is>
          <t>ÖSTERGÖTLANDS LÄN</t>
        </is>
      </c>
      <c r="E89" t="inlineStr">
        <is>
          <t>SÖDERKÖPING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16775-2025</t>
        </is>
      </c>
      <c r="B90" s="1" t="n">
        <v>45754</v>
      </c>
      <c r="C90" s="1" t="n">
        <v>46204</v>
      </c>
      <c r="D90" t="inlineStr">
        <is>
          <t>ÖSTERGÖTLANDS LÄN</t>
        </is>
      </c>
      <c r="E90" t="inlineStr">
        <is>
          <t>SÖDERKÖPING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26058-2022</t>
        </is>
      </c>
      <c r="B91" s="1" t="n">
        <v>44734</v>
      </c>
      <c r="C91" s="1" t="n">
        <v>46204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8999-2023</t>
        </is>
      </c>
      <c r="B92" s="1" t="n">
        <v>44979</v>
      </c>
      <c r="C92" s="1" t="n">
        <v>46204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13606-2025</t>
        </is>
      </c>
      <c r="B93" s="1" t="n">
        <v>45736</v>
      </c>
      <c r="C93" s="1" t="n">
        <v>46204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Holmen skog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33726-2023</t>
        </is>
      </c>
      <c r="B94" s="1" t="n">
        <v>45119</v>
      </c>
      <c r="C94" s="1" t="n">
        <v>46204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33731-2023</t>
        </is>
      </c>
      <c r="B95" s="1" t="n">
        <v>45119</v>
      </c>
      <c r="C95" s="1" t="n">
        <v>46204</v>
      </c>
      <c r="D95" t="inlineStr">
        <is>
          <t>ÖSTERGÖTLANDS LÄN</t>
        </is>
      </c>
      <c r="E95" t="inlineStr">
        <is>
          <t>SÖDERKÖPING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33733-2023</t>
        </is>
      </c>
      <c r="B96" s="1" t="n">
        <v>45119</v>
      </c>
      <c r="C96" s="1" t="n">
        <v>46204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34177-2021</t>
        </is>
      </c>
      <c r="B97" s="1" t="n">
        <v>44379</v>
      </c>
      <c r="C97" s="1" t="n">
        <v>46204</v>
      </c>
      <c r="D97" t="inlineStr">
        <is>
          <t>ÖSTERGÖTLANDS LÄN</t>
        </is>
      </c>
      <c r="E97" t="inlineStr">
        <is>
          <t>SÖDERKÖPING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4163-2022</t>
        </is>
      </c>
      <c r="B98" s="1" t="n">
        <v>44588</v>
      </c>
      <c r="C98" s="1" t="n">
        <v>46204</v>
      </c>
      <c r="D98" t="inlineStr">
        <is>
          <t>ÖSTERGÖTLANDS LÄN</t>
        </is>
      </c>
      <c r="E98" t="inlineStr">
        <is>
          <t>SÖDERKÖPING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44859-2023</t>
        </is>
      </c>
      <c r="B99" s="1" t="n">
        <v>45190</v>
      </c>
      <c r="C99" s="1" t="n">
        <v>46204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53777-2023</t>
        </is>
      </c>
      <c r="B100" s="1" t="n">
        <v>45231</v>
      </c>
      <c r="C100" s="1" t="n">
        <v>46204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7452-2026</t>
        </is>
      </c>
      <c r="B101" s="1" t="n">
        <v>46059</v>
      </c>
      <c r="C101" s="1" t="n">
        <v>46204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45044-2023</t>
        </is>
      </c>
      <c r="B102" s="1" t="n">
        <v>45191</v>
      </c>
      <c r="C102" s="1" t="n">
        <v>46204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7440-2026</t>
        </is>
      </c>
      <c r="B103" s="1" t="n">
        <v>46059</v>
      </c>
      <c r="C103" s="1" t="n">
        <v>46204</v>
      </c>
      <c r="D103" t="inlineStr">
        <is>
          <t>ÖSTERGÖTLANDS LÄN</t>
        </is>
      </c>
      <c r="E103" t="inlineStr">
        <is>
          <t>SÖDERKÖPING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38595-2022</t>
        </is>
      </c>
      <c r="B104" s="1" t="n">
        <v>44813</v>
      </c>
      <c r="C104" s="1" t="n">
        <v>46204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7830-2026</t>
        </is>
      </c>
      <c r="B105" s="1" t="n">
        <v>46061</v>
      </c>
      <c r="C105" s="1" t="n">
        <v>46204</v>
      </c>
      <c r="D105" t="inlineStr">
        <is>
          <t>ÖSTERGÖTLANDS LÄN</t>
        </is>
      </c>
      <c r="E105" t="inlineStr">
        <is>
          <t>SÖDERKÖPING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7852-2026</t>
        </is>
      </c>
      <c r="B106" s="1" t="n">
        <v>46062</v>
      </c>
      <c r="C106" s="1" t="n">
        <v>46204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23121-2025</t>
        </is>
      </c>
      <c r="B107" s="1" t="n">
        <v>45791</v>
      </c>
      <c r="C107" s="1" t="n">
        <v>46204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45483-2023</t>
        </is>
      </c>
      <c r="B108" s="1" t="n">
        <v>45194</v>
      </c>
      <c r="C108" s="1" t="n">
        <v>46204</v>
      </c>
      <c r="D108" t="inlineStr">
        <is>
          <t>ÖSTERGÖTLANDS LÄN</t>
        </is>
      </c>
      <c r="E108" t="inlineStr">
        <is>
          <t>SÖDERKÖPING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7836-2026</t>
        </is>
      </c>
      <c r="B109" s="1" t="n">
        <v>46062</v>
      </c>
      <c r="C109" s="1" t="n">
        <v>46204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7822-2026</t>
        </is>
      </c>
      <c r="B110" s="1" t="n">
        <v>46062</v>
      </c>
      <c r="C110" s="1" t="n">
        <v>46204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7847-2026</t>
        </is>
      </c>
      <c r="B111" s="1" t="n">
        <v>46061</v>
      </c>
      <c r="C111" s="1" t="n">
        <v>46204</v>
      </c>
      <c r="D111" t="inlineStr">
        <is>
          <t>ÖSTERGÖTLANDS LÄN</t>
        </is>
      </c>
      <c r="E111" t="inlineStr">
        <is>
          <t>SÖDERKÖPING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41363-2023</t>
        </is>
      </c>
      <c r="B112" s="1" t="n">
        <v>45174</v>
      </c>
      <c r="C112" s="1" t="n">
        <v>46204</v>
      </c>
      <c r="D112" t="inlineStr">
        <is>
          <t>ÖSTERGÖTLANDS LÄN</t>
        </is>
      </c>
      <c r="E112" t="inlineStr">
        <is>
          <t>SÖDERKÖPING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31628-2022</t>
        </is>
      </c>
      <c r="B113" s="1" t="n">
        <v>44775</v>
      </c>
      <c r="C113" s="1" t="n">
        <v>46204</v>
      </c>
      <c r="D113" t="inlineStr">
        <is>
          <t>ÖSTERGÖTLANDS LÄN</t>
        </is>
      </c>
      <c r="E113" t="inlineStr">
        <is>
          <t>SÖDERKÖPING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39659-2025</t>
        </is>
      </c>
      <c r="B114" s="1" t="n">
        <v>45890</v>
      </c>
      <c r="C114" s="1" t="n">
        <v>46204</v>
      </c>
      <c r="D114" t="inlineStr">
        <is>
          <t>ÖSTERGÖTLANDS LÄN</t>
        </is>
      </c>
      <c r="E114" t="inlineStr">
        <is>
          <t>SÖDERKÖPING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39854-2025</t>
        </is>
      </c>
      <c r="B115" s="1" t="n">
        <v>45891</v>
      </c>
      <c r="C115" s="1" t="n">
        <v>46204</v>
      </c>
      <c r="D115" t="inlineStr">
        <is>
          <t>ÖSTERGÖTLANDS LÄN</t>
        </is>
      </c>
      <c r="E115" t="inlineStr">
        <is>
          <t>SÖDERKÖPING</t>
        </is>
      </c>
      <c r="G115" t="n">
        <v>26.6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34404-2025</t>
        </is>
      </c>
      <c r="B116" s="1" t="n">
        <v>45846</v>
      </c>
      <c r="C116" s="1" t="n">
        <v>46204</v>
      </c>
      <c r="D116" t="inlineStr">
        <is>
          <t>ÖSTERGÖTLANDS LÄN</t>
        </is>
      </c>
      <c r="E116" t="inlineStr">
        <is>
          <t>SÖDERKÖPING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9052-2026</t>
        </is>
      </c>
      <c r="B117" s="1" t="n">
        <v>46069</v>
      </c>
      <c r="C117" s="1" t="n">
        <v>46204</v>
      </c>
      <c r="D117" t="inlineStr">
        <is>
          <t>ÖSTERGÖTLANDS LÄN</t>
        </is>
      </c>
      <c r="E117" t="inlineStr">
        <is>
          <t>SÖDERKÖPING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34392-2025</t>
        </is>
      </c>
      <c r="B118" s="1" t="n">
        <v>45846</v>
      </c>
      <c r="C118" s="1" t="n">
        <v>46204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64211-2023</t>
        </is>
      </c>
      <c r="B119" s="1" t="n">
        <v>45279</v>
      </c>
      <c r="C119" s="1" t="n">
        <v>46204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34969-2025</t>
        </is>
      </c>
      <c r="B120" s="1" t="n">
        <v>45849</v>
      </c>
      <c r="C120" s="1" t="n">
        <v>46204</v>
      </c>
      <c r="D120" t="inlineStr">
        <is>
          <t>ÖSTERGÖTLANDS LÄN</t>
        </is>
      </c>
      <c r="E120" t="inlineStr">
        <is>
          <t>SÖDERKÖPING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34971-2025</t>
        </is>
      </c>
      <c r="B121" s="1" t="n">
        <v>45849</v>
      </c>
      <c r="C121" s="1" t="n">
        <v>46204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42355-2023</t>
        </is>
      </c>
      <c r="B122" s="1" t="n">
        <v>45180</v>
      </c>
      <c r="C122" s="1" t="n">
        <v>46204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47428-2024</t>
        </is>
      </c>
      <c r="B123" s="1" t="n">
        <v>45586</v>
      </c>
      <c r="C123" s="1" t="n">
        <v>46204</v>
      </c>
      <c r="D123" t="inlineStr">
        <is>
          <t>ÖSTERGÖTLANDS LÄN</t>
        </is>
      </c>
      <c r="E123" t="inlineStr">
        <is>
          <t>SÖDERKÖPING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42768-2025</t>
        </is>
      </c>
      <c r="B124" s="1" t="n">
        <v>45908</v>
      </c>
      <c r="C124" s="1" t="n">
        <v>46204</v>
      </c>
      <c r="D124" t="inlineStr">
        <is>
          <t>ÖSTERGÖTLANDS LÄN</t>
        </is>
      </c>
      <c r="E124" t="inlineStr">
        <is>
          <t>SÖDERKÖPING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56861-2023</t>
        </is>
      </c>
      <c r="B125" s="1" t="n">
        <v>45244</v>
      </c>
      <c r="C125" s="1" t="n">
        <v>46204</v>
      </c>
      <c r="D125" t="inlineStr">
        <is>
          <t>ÖSTERGÖTLANDS LÄN</t>
        </is>
      </c>
      <c r="E125" t="inlineStr">
        <is>
          <t>SÖDERKÖPING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10369-2024</t>
        </is>
      </c>
      <c r="B126" s="1" t="n">
        <v>45365</v>
      </c>
      <c r="C126" s="1" t="n">
        <v>46204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59471-2023</t>
        </is>
      </c>
      <c r="B127" s="1" t="n">
        <v>45254</v>
      </c>
      <c r="C127" s="1" t="n">
        <v>46204</v>
      </c>
      <c r="D127" t="inlineStr">
        <is>
          <t>ÖSTERGÖTLANDS LÄN</t>
        </is>
      </c>
      <c r="E127" t="inlineStr">
        <is>
          <t>SÖDERKÖPING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37343-2025</t>
        </is>
      </c>
      <c r="B128" s="1" t="n">
        <v>45876</v>
      </c>
      <c r="C128" s="1" t="n">
        <v>46204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45648-2025</t>
        </is>
      </c>
      <c r="B129" s="1" t="n">
        <v>45923</v>
      </c>
      <c r="C129" s="1" t="n">
        <v>46204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45518-2025</t>
        </is>
      </c>
      <c r="B130" s="1" t="n">
        <v>45922</v>
      </c>
      <c r="C130" s="1" t="n">
        <v>46204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37345-2025</t>
        </is>
      </c>
      <c r="B131" s="1" t="n">
        <v>45876</v>
      </c>
      <c r="C131" s="1" t="n">
        <v>46204</v>
      </c>
      <c r="D131" t="inlineStr">
        <is>
          <t>ÖSTERGÖTLANDS LÄN</t>
        </is>
      </c>
      <c r="E131" t="inlineStr">
        <is>
          <t>SÖDERKÖPING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6350-2023</t>
        </is>
      </c>
      <c r="B132" s="1" t="n">
        <v>44965</v>
      </c>
      <c r="C132" s="1" t="n">
        <v>46204</v>
      </c>
      <c r="D132" t="inlineStr">
        <is>
          <t>ÖSTERGÖTLANDS LÄN</t>
        </is>
      </c>
      <c r="E132" t="inlineStr">
        <is>
          <t>SÖDERKÖPING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13792-2025</t>
        </is>
      </c>
      <c r="B133" s="1" t="n">
        <v>45737</v>
      </c>
      <c r="C133" s="1" t="n">
        <v>46204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45774-2025</t>
        </is>
      </c>
      <c r="B134" s="1" t="n">
        <v>45923</v>
      </c>
      <c r="C134" s="1" t="n">
        <v>46204</v>
      </c>
      <c r="D134" t="inlineStr">
        <is>
          <t>ÖSTERGÖTLANDS LÄN</t>
        </is>
      </c>
      <c r="E134" t="inlineStr">
        <is>
          <t>SÖDERKÖPING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50241-2022</t>
        </is>
      </c>
      <c r="B135" s="1" t="n">
        <v>44865</v>
      </c>
      <c r="C135" s="1" t="n">
        <v>46204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26912-2023</t>
        </is>
      </c>
      <c r="B136" s="1" t="n">
        <v>45093</v>
      </c>
      <c r="C136" s="1" t="n">
        <v>46204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46733-2025</t>
        </is>
      </c>
      <c r="B137" s="1" t="n">
        <v>45926</v>
      </c>
      <c r="C137" s="1" t="n">
        <v>46204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46764-2025</t>
        </is>
      </c>
      <c r="B138" s="1" t="n">
        <v>45926</v>
      </c>
      <c r="C138" s="1" t="n">
        <v>46204</v>
      </c>
      <c r="D138" t="inlineStr">
        <is>
          <t>ÖSTERGÖTLANDS LÄN</t>
        </is>
      </c>
      <c r="E138" t="inlineStr">
        <is>
          <t>SÖDERKÖPING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46643-2025</t>
        </is>
      </c>
      <c r="B139" s="1" t="n">
        <v>45926</v>
      </c>
      <c r="C139" s="1" t="n">
        <v>46204</v>
      </c>
      <c r="D139" t="inlineStr">
        <is>
          <t>ÖSTERGÖTLANDS LÄN</t>
        </is>
      </c>
      <c r="E139" t="inlineStr">
        <is>
          <t>SÖDERKÖPING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29519-2023</t>
        </is>
      </c>
      <c r="B140" s="1" t="n">
        <v>45106</v>
      </c>
      <c r="C140" s="1" t="n">
        <v>46204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46780-2025</t>
        </is>
      </c>
      <c r="B141" s="1" t="n">
        <v>45926</v>
      </c>
      <c r="C141" s="1" t="n">
        <v>46204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33736-2023</t>
        </is>
      </c>
      <c r="B142" s="1" t="n">
        <v>45119</v>
      </c>
      <c r="C142" s="1" t="n">
        <v>46204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11005-2026</t>
        </is>
      </c>
      <c r="B143" s="1" t="n">
        <v>46079</v>
      </c>
      <c r="C143" s="1" t="n">
        <v>46204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Kyrkan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46649-2025</t>
        </is>
      </c>
      <c r="B144" s="1" t="n">
        <v>45926</v>
      </c>
      <c r="C144" s="1" t="n">
        <v>46204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6035-2023</t>
        </is>
      </c>
      <c r="B145" s="1" t="n">
        <v>44964</v>
      </c>
      <c r="C145" s="1" t="n">
        <v>46204</v>
      </c>
      <c r="D145" t="inlineStr">
        <is>
          <t>ÖSTERGÖTLANDS LÄN</t>
        </is>
      </c>
      <c r="E145" t="inlineStr">
        <is>
          <t>SÖDERKÖPING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46760-2025</t>
        </is>
      </c>
      <c r="B146" s="1" t="n">
        <v>45926</v>
      </c>
      <c r="C146" s="1" t="n">
        <v>46204</v>
      </c>
      <c r="D146" t="inlineStr">
        <is>
          <t>ÖSTERGÖTLANDS LÄN</t>
        </is>
      </c>
      <c r="E146" t="inlineStr">
        <is>
          <t>SÖDERKÖPING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46725-2025</t>
        </is>
      </c>
      <c r="B147" s="1" t="n">
        <v>45926</v>
      </c>
      <c r="C147" s="1" t="n">
        <v>46204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38533-2025</t>
        </is>
      </c>
      <c r="B148" s="1" t="n">
        <v>45884</v>
      </c>
      <c r="C148" s="1" t="n">
        <v>46204</v>
      </c>
      <c r="D148" t="inlineStr">
        <is>
          <t>ÖSTERGÖTLANDS LÄN</t>
        </is>
      </c>
      <c r="E148" t="inlineStr">
        <is>
          <t>SÖDERKÖPING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11616-2026</t>
        </is>
      </c>
      <c r="B149" s="1" t="n">
        <v>46084</v>
      </c>
      <c r="C149" s="1" t="n">
        <v>46204</v>
      </c>
      <c r="D149" t="inlineStr">
        <is>
          <t>ÖSTERGÖTLANDS LÄN</t>
        </is>
      </c>
      <c r="E149" t="inlineStr">
        <is>
          <t>SÖDERKÖPING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11619-2026</t>
        </is>
      </c>
      <c r="B150" s="1" t="n">
        <v>46084</v>
      </c>
      <c r="C150" s="1" t="n">
        <v>46204</v>
      </c>
      <c r="D150" t="inlineStr">
        <is>
          <t>ÖSTERGÖTLANDS LÄN</t>
        </is>
      </c>
      <c r="E150" t="inlineStr">
        <is>
          <t>SÖDERKÖPING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37684-2023</t>
        </is>
      </c>
      <c r="B151" s="1" t="n">
        <v>45159</v>
      </c>
      <c r="C151" s="1" t="n">
        <v>46204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37687-2023</t>
        </is>
      </c>
      <c r="B152" s="1" t="n">
        <v>45159</v>
      </c>
      <c r="C152" s="1" t="n">
        <v>46204</v>
      </c>
      <c r="D152" t="inlineStr">
        <is>
          <t>ÖSTERGÖTLANDS LÄN</t>
        </is>
      </c>
      <c r="E152" t="inlineStr">
        <is>
          <t>SÖDERKÖPING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46422-2023</t>
        </is>
      </c>
      <c r="B153" s="1" t="n">
        <v>45197</v>
      </c>
      <c r="C153" s="1" t="n">
        <v>46204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58398-2023</t>
        </is>
      </c>
      <c r="B154" s="1" t="n">
        <v>45250</v>
      </c>
      <c r="C154" s="1" t="n">
        <v>46204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35326-2022</t>
        </is>
      </c>
      <c r="B155" s="1" t="n">
        <v>44798</v>
      </c>
      <c r="C155" s="1" t="n">
        <v>46204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14579-2025</t>
        </is>
      </c>
      <c r="B156" s="1" t="n">
        <v>45742</v>
      </c>
      <c r="C156" s="1" t="n">
        <v>46204</v>
      </c>
      <c r="D156" t="inlineStr">
        <is>
          <t>ÖSTERGÖTLANDS LÄN</t>
        </is>
      </c>
      <c r="E156" t="inlineStr">
        <is>
          <t>SÖDERKÖPING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11951-2024</t>
        </is>
      </c>
      <c r="B157" s="1" t="n">
        <v>45376</v>
      </c>
      <c r="C157" s="1" t="n">
        <v>46204</v>
      </c>
      <c r="D157" t="inlineStr">
        <is>
          <t>ÖSTERGÖTLANDS LÄN</t>
        </is>
      </c>
      <c r="E157" t="inlineStr">
        <is>
          <t>SÖDERKÖPING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57888-2022</t>
        </is>
      </c>
      <c r="B158" s="1" t="n">
        <v>44900</v>
      </c>
      <c r="C158" s="1" t="n">
        <v>46204</v>
      </c>
      <c r="D158" t="inlineStr">
        <is>
          <t>ÖSTERGÖTLANDS LÄN</t>
        </is>
      </c>
      <c r="E158" t="inlineStr">
        <is>
          <t>SÖDERKÖPING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40351-2023</t>
        </is>
      </c>
      <c r="B159" s="1" t="n">
        <v>45169</v>
      </c>
      <c r="C159" s="1" t="n">
        <v>46204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40356-2023</t>
        </is>
      </c>
      <c r="B160" s="1" t="n">
        <v>45169</v>
      </c>
      <c r="C160" s="1" t="n">
        <v>46204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61802-2022</t>
        </is>
      </c>
      <c r="B161" s="1" t="n">
        <v>44917</v>
      </c>
      <c r="C161" s="1" t="n">
        <v>46204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31313-2024</t>
        </is>
      </c>
      <c r="B162" s="1" t="n">
        <v>45504</v>
      </c>
      <c r="C162" s="1" t="n">
        <v>46204</v>
      </c>
      <c r="D162" t="inlineStr">
        <is>
          <t>ÖSTERGÖTLANDS LÄN</t>
        </is>
      </c>
      <c r="E162" t="inlineStr">
        <is>
          <t>SÖDERKÖPING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50051-2023</t>
        </is>
      </c>
      <c r="B163" s="1" t="n">
        <v>45215</v>
      </c>
      <c r="C163" s="1" t="n">
        <v>46204</v>
      </c>
      <c r="D163" t="inlineStr">
        <is>
          <t>ÖSTERGÖTLANDS LÄN</t>
        </is>
      </c>
      <c r="E163" t="inlineStr">
        <is>
          <t>SÖDERKÖPING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14552-2026</t>
        </is>
      </c>
      <c r="B164" s="1" t="n">
        <v>46100</v>
      </c>
      <c r="C164" s="1" t="n">
        <v>46204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49367-2023</t>
        </is>
      </c>
      <c r="B165" s="1" t="n">
        <v>45211</v>
      </c>
      <c r="C165" s="1" t="n">
        <v>46204</v>
      </c>
      <c r="D165" t="inlineStr">
        <is>
          <t>ÖSTERGÖTLANDS LÄN</t>
        </is>
      </c>
      <c r="E165" t="inlineStr">
        <is>
          <t>SÖDERKÖPING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14777-2026</t>
        </is>
      </c>
      <c r="B166" s="1" t="n">
        <v>46101</v>
      </c>
      <c r="C166" s="1" t="n">
        <v>46204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53874-2025</t>
        </is>
      </c>
      <c r="B167" s="1" t="n">
        <v>45961</v>
      </c>
      <c r="C167" s="1" t="n">
        <v>46204</v>
      </c>
      <c r="D167" t="inlineStr">
        <is>
          <t>ÖSTERGÖTLANDS LÄN</t>
        </is>
      </c>
      <c r="E167" t="inlineStr">
        <is>
          <t>SÖDERKÖPING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49227-2022</t>
        </is>
      </c>
      <c r="B168" s="1" t="n">
        <v>44861</v>
      </c>
      <c r="C168" s="1" t="n">
        <v>46204</v>
      </c>
      <c r="D168" t="inlineStr">
        <is>
          <t>ÖSTERGÖTLANDS LÄN</t>
        </is>
      </c>
      <c r="E168" t="inlineStr">
        <is>
          <t>SÖDERKÖPING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14776-2026</t>
        </is>
      </c>
      <c r="B169" s="1" t="n">
        <v>46101</v>
      </c>
      <c r="C169" s="1" t="n">
        <v>46204</v>
      </c>
      <c r="D169" t="inlineStr">
        <is>
          <t>ÖSTERGÖTLANDS LÄN</t>
        </is>
      </c>
      <c r="E169" t="inlineStr">
        <is>
          <t>SÖDERKÖPING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2951-2024</t>
        </is>
      </c>
      <c r="B170" s="1" t="n">
        <v>45315</v>
      </c>
      <c r="C170" s="1" t="n">
        <v>46204</v>
      </c>
      <c r="D170" t="inlineStr">
        <is>
          <t>ÖSTERGÖTLANDS LÄN</t>
        </is>
      </c>
      <c r="E170" t="inlineStr">
        <is>
          <t>SÖDERKÖPING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34917-2022</t>
        </is>
      </c>
      <c r="B171" s="1" t="n">
        <v>44796</v>
      </c>
      <c r="C171" s="1" t="n">
        <v>46204</v>
      </c>
      <c r="D171" t="inlineStr">
        <is>
          <t>ÖSTERGÖTLANDS LÄN</t>
        </is>
      </c>
      <c r="E171" t="inlineStr">
        <is>
          <t>SÖDERKÖPING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15034-2024</t>
        </is>
      </c>
      <c r="B172" s="1" t="n">
        <v>45399</v>
      </c>
      <c r="C172" s="1" t="n">
        <v>46204</v>
      </c>
      <c r="D172" t="inlineStr">
        <is>
          <t>ÖSTERGÖTLANDS LÄN</t>
        </is>
      </c>
      <c r="E172" t="inlineStr">
        <is>
          <t>SÖDERKÖPING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3925-2025</t>
        </is>
      </c>
      <c r="B173" s="1" t="n">
        <v>45684</v>
      </c>
      <c r="C173" s="1" t="n">
        <v>46204</v>
      </c>
      <c r="D173" t="inlineStr">
        <is>
          <t>ÖSTERGÖTLANDS LÄN</t>
        </is>
      </c>
      <c r="E173" t="inlineStr">
        <is>
          <t>SÖDERKÖPING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46204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56163-2025</t>
        </is>
      </c>
      <c r="B175" s="1" t="n">
        <v>45974</v>
      </c>
      <c r="C175" s="1" t="n">
        <v>46204</v>
      </c>
      <c r="D175" t="inlineStr">
        <is>
          <t>ÖSTERGÖTLANDS LÄN</t>
        </is>
      </c>
      <c r="E175" t="inlineStr">
        <is>
          <t>SÖDERKÖPING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56166-2025</t>
        </is>
      </c>
      <c r="B176" s="1" t="n">
        <v>45974</v>
      </c>
      <c r="C176" s="1" t="n">
        <v>46204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15462-2026</t>
        </is>
      </c>
      <c r="B177" s="1" t="n">
        <v>46106</v>
      </c>
      <c r="C177" s="1" t="n">
        <v>46204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7062-2025</t>
        </is>
      </c>
      <c r="B178" s="1" t="n">
        <v>45701</v>
      </c>
      <c r="C178" s="1" t="n">
        <v>46204</v>
      </c>
      <c r="D178" t="inlineStr">
        <is>
          <t>ÖSTERGÖTLANDS LÄN</t>
        </is>
      </c>
      <c r="E178" t="inlineStr">
        <is>
          <t>SÖDERKÖPING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1614-2023</t>
        </is>
      </c>
      <c r="B179" s="1" t="n">
        <v>44937</v>
      </c>
      <c r="C179" s="1" t="n">
        <v>46204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58450-2025</t>
        </is>
      </c>
      <c r="B180" s="1" t="n">
        <v>45985</v>
      </c>
      <c r="C180" s="1" t="n">
        <v>46204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16246-2026</t>
        </is>
      </c>
      <c r="B181" s="1" t="n">
        <v>46111</v>
      </c>
      <c r="C181" s="1" t="n">
        <v>46204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16248-2026</t>
        </is>
      </c>
      <c r="B182" s="1" t="n">
        <v>46111</v>
      </c>
      <c r="C182" s="1" t="n">
        <v>46204</v>
      </c>
      <c r="D182" t="inlineStr">
        <is>
          <t>ÖSTERGÖTLANDS LÄN</t>
        </is>
      </c>
      <c r="E182" t="inlineStr">
        <is>
          <t>SÖDERKÖPING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16319-2026</t>
        </is>
      </c>
      <c r="B183" s="1" t="n">
        <v>46111</v>
      </c>
      <c r="C183" s="1" t="n">
        <v>46204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16254-2026</t>
        </is>
      </c>
      <c r="B184" s="1" t="n">
        <v>46111</v>
      </c>
      <c r="C184" s="1" t="n">
        <v>46204</v>
      </c>
      <c r="D184" t="inlineStr">
        <is>
          <t>ÖSTERGÖTLANDS LÄN</t>
        </is>
      </c>
      <c r="E184" t="inlineStr">
        <is>
          <t>SÖDERKÖPING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42352-2023</t>
        </is>
      </c>
      <c r="B185" s="1" t="n">
        <v>45180</v>
      </c>
      <c r="C185" s="1" t="n">
        <v>46204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Allmännings- och besparingsskogar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18794-2024</t>
        </is>
      </c>
      <c r="B186" s="1" t="n">
        <v>45426</v>
      </c>
      <c r="C186" s="1" t="n">
        <v>46204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16232-2026</t>
        </is>
      </c>
      <c r="B187" s="1" t="n">
        <v>46111</v>
      </c>
      <c r="C187" s="1" t="n">
        <v>46204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46204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38646-2024</t>
        </is>
      </c>
      <c r="B189" s="1" t="n">
        <v>45546</v>
      </c>
      <c r="C189" s="1" t="n">
        <v>46204</v>
      </c>
      <c r="D189" t="inlineStr">
        <is>
          <t>ÖSTERGÖTLANDS LÄN</t>
        </is>
      </c>
      <c r="E189" t="inlineStr">
        <is>
          <t>SÖDERKÖPING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29514-2023</t>
        </is>
      </c>
      <c r="B190" s="1" t="n">
        <v>45106</v>
      </c>
      <c r="C190" s="1" t="n">
        <v>46204</v>
      </c>
      <c r="D190" t="inlineStr">
        <is>
          <t>ÖSTERGÖTLANDS LÄN</t>
        </is>
      </c>
      <c r="E190" t="inlineStr">
        <is>
          <t>SÖDERKÖPING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61814-2025</t>
        </is>
      </c>
      <c r="B191" s="1" t="n">
        <v>46003</v>
      </c>
      <c r="C191" s="1" t="n">
        <v>46204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61816-2025</t>
        </is>
      </c>
      <c r="B192" s="1" t="n">
        <v>46003</v>
      </c>
      <c r="C192" s="1" t="n">
        <v>46204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61817-2025</t>
        </is>
      </c>
      <c r="B193" s="1" t="n">
        <v>46003</v>
      </c>
      <c r="C193" s="1" t="n">
        <v>46204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45457-2023</t>
        </is>
      </c>
      <c r="B194" s="1" t="n">
        <v>45194</v>
      </c>
      <c r="C194" s="1" t="n">
        <v>46204</v>
      </c>
      <c r="D194" t="inlineStr">
        <is>
          <t>ÖSTERGÖTLANDS LÄN</t>
        </is>
      </c>
      <c r="E194" t="inlineStr">
        <is>
          <t>SÖDERKÖPING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49569-2022</t>
        </is>
      </c>
      <c r="B195" s="1" t="n">
        <v>44862</v>
      </c>
      <c r="C195" s="1" t="n">
        <v>46204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61813-2025</t>
        </is>
      </c>
      <c r="B196" s="1" t="n">
        <v>46003</v>
      </c>
      <c r="C196" s="1" t="n">
        <v>46204</v>
      </c>
      <c r="D196" t="inlineStr">
        <is>
          <t>ÖSTERGÖTLANDS LÄN</t>
        </is>
      </c>
      <c r="E196" t="inlineStr">
        <is>
          <t>SÖDERKÖPING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4318-2023</t>
        </is>
      </c>
      <c r="B197" s="1" t="n">
        <v>44953</v>
      </c>
      <c r="C197" s="1" t="n">
        <v>46204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62730-2025</t>
        </is>
      </c>
      <c r="B198" s="1" t="n">
        <v>46008</v>
      </c>
      <c r="C198" s="1" t="n">
        <v>46204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62724-2025</t>
        </is>
      </c>
      <c r="B199" s="1" t="n">
        <v>46008</v>
      </c>
      <c r="C199" s="1" t="n">
        <v>46204</v>
      </c>
      <c r="D199" t="inlineStr">
        <is>
          <t>ÖSTERGÖTLANDS LÄN</t>
        </is>
      </c>
      <c r="E199" t="inlineStr">
        <is>
          <t>SÖDERKÖPING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44174-2023</t>
        </is>
      </c>
      <c r="B200" s="1" t="n">
        <v>45188</v>
      </c>
      <c r="C200" s="1" t="n">
        <v>46204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50590-2024</t>
        </is>
      </c>
      <c r="B201" s="1" t="n">
        <v>45601</v>
      </c>
      <c r="C201" s="1" t="n">
        <v>46204</v>
      </c>
      <c r="D201" t="inlineStr">
        <is>
          <t>ÖSTERGÖTLANDS LÄN</t>
        </is>
      </c>
      <c r="E201" t="inlineStr">
        <is>
          <t>SÖDERKÖPING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23785-2026</t>
        </is>
      </c>
      <c r="B202" s="1" t="n">
        <v>46164</v>
      </c>
      <c r="C202" s="1" t="n">
        <v>46204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63236-2025</t>
        </is>
      </c>
      <c r="B203" s="1" t="n">
        <v>46010</v>
      </c>
      <c r="C203" s="1" t="n">
        <v>46204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57255-2024</t>
        </is>
      </c>
      <c r="B204" s="1" t="n">
        <v>45629</v>
      </c>
      <c r="C204" s="1" t="n">
        <v>46204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58223-2022</t>
        </is>
      </c>
      <c r="B205" s="1" t="n">
        <v>44901</v>
      </c>
      <c r="C205" s="1" t="n">
        <v>46204</v>
      </c>
      <c r="D205" t="inlineStr">
        <is>
          <t>ÖSTERGÖTLANDS LÄN</t>
        </is>
      </c>
      <c r="E205" t="inlineStr">
        <is>
          <t>SÖDERKÖPING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23518-2026</t>
        </is>
      </c>
      <c r="B206" s="1" t="n">
        <v>46163</v>
      </c>
      <c r="C206" s="1" t="n">
        <v>46204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Allmännings- och besparingsskogar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1293-2025</t>
        </is>
      </c>
      <c r="B207" s="1" t="n">
        <v>45667</v>
      </c>
      <c r="C207" s="1" t="n">
        <v>46204</v>
      </c>
      <c r="D207" t="inlineStr">
        <is>
          <t>ÖSTERGÖTLANDS LÄN</t>
        </is>
      </c>
      <c r="E207" t="inlineStr">
        <is>
          <t>SÖDERKÖPING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9799-2023</t>
        </is>
      </c>
      <c r="B208" s="1" t="n">
        <v>44984</v>
      </c>
      <c r="C208" s="1" t="n">
        <v>46204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37692-2023</t>
        </is>
      </c>
      <c r="B209" s="1" t="n">
        <v>45159</v>
      </c>
      <c r="C209" s="1" t="n">
        <v>46204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24690-2026</t>
        </is>
      </c>
      <c r="B210" s="1" t="n">
        <v>46171</v>
      </c>
      <c r="C210" s="1" t="n">
        <v>46204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5412-2026</t>
        </is>
      </c>
      <c r="B211" s="1" t="n">
        <v>46050</v>
      </c>
      <c r="C211" s="1" t="n">
        <v>46204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Kyrkan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225-2023</t>
        </is>
      </c>
      <c r="B212" s="1" t="n">
        <v>44928</v>
      </c>
      <c r="C212" s="1" t="n">
        <v>46204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6256-2026</t>
        </is>
      </c>
      <c r="B213" s="1" t="n">
        <v>46055</v>
      </c>
      <c r="C213" s="1" t="n">
        <v>46204</v>
      </c>
      <c r="D213" t="inlineStr">
        <is>
          <t>ÖSTERGÖTLANDS LÄN</t>
        </is>
      </c>
      <c r="E213" t="inlineStr">
        <is>
          <t>SÖDERKÖPING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24726-2026</t>
        </is>
      </c>
      <c r="B214" s="1" t="n">
        <v>46171</v>
      </c>
      <c r="C214" s="1" t="n">
        <v>46204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36734-2022</t>
        </is>
      </c>
      <c r="B215" s="1" t="n">
        <v>44805</v>
      </c>
      <c r="C215" s="1" t="n">
        <v>46204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59876-2023</t>
        </is>
      </c>
      <c r="B216" s="1" t="n">
        <v>45257</v>
      </c>
      <c r="C216" s="1" t="n">
        <v>46204</v>
      </c>
      <c r="D216" t="inlineStr">
        <is>
          <t>ÖSTERGÖTLANDS LÄN</t>
        </is>
      </c>
      <c r="E216" t="inlineStr">
        <is>
          <t>SÖDERKÖPING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6224-2026</t>
        </is>
      </c>
      <c r="B217" s="1" t="n">
        <v>46055</v>
      </c>
      <c r="C217" s="1" t="n">
        <v>46204</v>
      </c>
      <c r="D217" t="inlineStr">
        <is>
          <t>ÖSTERGÖTLANDS LÄN</t>
        </is>
      </c>
      <c r="E217" t="inlineStr">
        <is>
          <t>SÖDERKÖPING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6240-2026</t>
        </is>
      </c>
      <c r="B218" s="1" t="n">
        <v>46055</v>
      </c>
      <c r="C218" s="1" t="n">
        <v>46204</v>
      </c>
      <c r="D218" t="inlineStr">
        <is>
          <t>ÖSTERGÖTLANDS LÄN</t>
        </is>
      </c>
      <c r="E218" t="inlineStr">
        <is>
          <t>SÖDERKÖPING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6205-2026</t>
        </is>
      </c>
      <c r="B219" s="1" t="n">
        <v>46055</v>
      </c>
      <c r="C219" s="1" t="n">
        <v>46204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33735-2023</t>
        </is>
      </c>
      <c r="B220" s="1" t="n">
        <v>45119</v>
      </c>
      <c r="C220" s="1" t="n">
        <v>46204</v>
      </c>
      <c r="D220" t="inlineStr">
        <is>
          <t>ÖSTERGÖTLANDS LÄN</t>
        </is>
      </c>
      <c r="E220" t="inlineStr">
        <is>
          <t>SÖDERKÖPING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6669-2026</t>
        </is>
      </c>
      <c r="B221" s="1" t="n">
        <v>46056</v>
      </c>
      <c r="C221" s="1" t="n">
        <v>46204</v>
      </c>
      <c r="D221" t="inlineStr">
        <is>
          <t>ÖSTERGÖTLANDS LÄN</t>
        </is>
      </c>
      <c r="E221" t="inlineStr">
        <is>
          <t>SÖDERKÖPING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54787-2022</t>
        </is>
      </c>
      <c r="B222" s="1" t="n">
        <v>44883</v>
      </c>
      <c r="C222" s="1" t="n">
        <v>46204</v>
      </c>
      <c r="D222" t="inlineStr">
        <is>
          <t>ÖSTERGÖTLANDS LÄN</t>
        </is>
      </c>
      <c r="E222" t="inlineStr">
        <is>
          <t>SÖDERKÖPING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45549-2023</t>
        </is>
      </c>
      <c r="B223" s="1" t="n">
        <v>45194</v>
      </c>
      <c r="C223" s="1" t="n">
        <v>46204</v>
      </c>
      <c r="D223" t="inlineStr">
        <is>
          <t>ÖSTERGÖTLANDS LÄN</t>
        </is>
      </c>
      <c r="E223" t="inlineStr">
        <is>
          <t>SÖDERKÖPING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44834-2023</t>
        </is>
      </c>
      <c r="B224" s="1" t="n">
        <v>45190</v>
      </c>
      <c r="C224" s="1" t="n">
        <v>46204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24875-2026</t>
        </is>
      </c>
      <c r="B225" s="1" t="n">
        <v>46174</v>
      </c>
      <c r="C225" s="1" t="n">
        <v>46204</v>
      </c>
      <c r="D225" t="inlineStr">
        <is>
          <t>ÖSTERGÖTLANDS LÄN</t>
        </is>
      </c>
      <c r="E225" t="inlineStr">
        <is>
          <t>SÖDERKÖPING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4491-2023</t>
        </is>
      </c>
      <c r="B226" s="1" t="n">
        <v>44956</v>
      </c>
      <c r="C226" s="1" t="n">
        <v>46204</v>
      </c>
      <c r="D226" t="inlineStr">
        <is>
          <t>ÖSTERGÖTLANDS LÄN</t>
        </is>
      </c>
      <c r="E226" t="inlineStr">
        <is>
          <t>SÖDERKÖPING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60640-2022</t>
        </is>
      </c>
      <c r="B227" s="1" t="n">
        <v>44911</v>
      </c>
      <c r="C227" s="1" t="n">
        <v>46204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Allmännings- och besparingsskogar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19661-2026</t>
        </is>
      </c>
      <c r="B228" s="1" t="n">
        <v>46134</v>
      </c>
      <c r="C228" s="1" t="n">
        <v>46204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32641-2025</t>
        </is>
      </c>
      <c r="B229" s="1" t="n">
        <v>45838</v>
      </c>
      <c r="C229" s="1" t="n">
        <v>46204</v>
      </c>
      <c r="D229" t="inlineStr">
        <is>
          <t>ÖSTERGÖTLANDS LÄN</t>
        </is>
      </c>
      <c r="E229" t="inlineStr">
        <is>
          <t>SÖDERKÖPING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17357-2025</t>
        </is>
      </c>
      <c r="B230" s="1" t="n">
        <v>45756</v>
      </c>
      <c r="C230" s="1" t="n">
        <v>46204</v>
      </c>
      <c r="D230" t="inlineStr">
        <is>
          <t>ÖSTERGÖTLANDS LÄN</t>
        </is>
      </c>
      <c r="E230" t="inlineStr">
        <is>
          <t>SÖDERKÖPING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64825-2023</t>
        </is>
      </c>
      <c r="B231" s="1" t="n">
        <v>45282</v>
      </c>
      <c r="C231" s="1" t="n">
        <v>46204</v>
      </c>
      <c r="D231" t="inlineStr">
        <is>
          <t>ÖSTERGÖTLANDS LÄN</t>
        </is>
      </c>
      <c r="E231" t="inlineStr">
        <is>
          <t>SÖDERKÖPING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66075-2021</t>
        </is>
      </c>
      <c r="B232" s="1" t="n">
        <v>44517</v>
      </c>
      <c r="C232" s="1" t="n">
        <v>46204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Kyrkan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6535-2023</t>
        </is>
      </c>
      <c r="B233" s="1" t="n">
        <v>44966</v>
      </c>
      <c r="C233" s="1" t="n">
        <v>46204</v>
      </c>
      <c r="D233" t="inlineStr">
        <is>
          <t>ÖSTERGÖTLANDS LÄN</t>
        </is>
      </c>
      <c r="E233" t="inlineStr">
        <is>
          <t>SÖDERKÖPING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8799-2023</t>
        </is>
      </c>
      <c r="B234" s="1" t="n">
        <v>44978</v>
      </c>
      <c r="C234" s="1" t="n">
        <v>46204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Allmännings- och besparingsskogar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21416-2025</t>
        </is>
      </c>
      <c r="B235" s="1" t="n">
        <v>45782</v>
      </c>
      <c r="C235" s="1" t="n">
        <v>46204</v>
      </c>
      <c r="D235" t="inlineStr">
        <is>
          <t>ÖSTERGÖTLANDS LÄN</t>
        </is>
      </c>
      <c r="E235" t="inlineStr">
        <is>
          <t>SÖDERKÖPING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9734-2023</t>
        </is>
      </c>
      <c r="B236" s="1" t="n">
        <v>44984</v>
      </c>
      <c r="C236" s="1" t="n">
        <v>46204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Allmännings- och besparingsskogar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50050-2023</t>
        </is>
      </c>
      <c r="B237" s="1" t="n">
        <v>45215</v>
      </c>
      <c r="C237" s="1" t="n">
        <v>46204</v>
      </c>
      <c r="D237" t="inlineStr">
        <is>
          <t>ÖSTERGÖTLANDS LÄN</t>
        </is>
      </c>
      <c r="E237" t="inlineStr">
        <is>
          <t>SÖDERKÖPING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20262-2026</t>
        </is>
      </c>
      <c r="B238" s="1" t="n">
        <v>46139</v>
      </c>
      <c r="C238" s="1" t="n">
        <v>46204</v>
      </c>
      <c r="D238" t="inlineStr">
        <is>
          <t>ÖSTERGÖTLANDS LÄN</t>
        </is>
      </c>
      <c r="E238" t="inlineStr">
        <is>
          <t>SÖDERKÖPING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20776-2023</t>
        </is>
      </c>
      <c r="B239" s="1" t="n">
        <v>45058</v>
      </c>
      <c r="C239" s="1" t="n">
        <v>46204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3919-2025</t>
        </is>
      </c>
      <c r="B240" s="1" t="n">
        <v>45684</v>
      </c>
      <c r="C240" s="1" t="n">
        <v>46204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46742-2025</t>
        </is>
      </c>
      <c r="B241" s="1" t="n">
        <v>45926</v>
      </c>
      <c r="C241" s="1" t="n">
        <v>46204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47368-2021</t>
        </is>
      </c>
      <c r="B242" s="1" t="n">
        <v>44447</v>
      </c>
      <c r="C242" s="1" t="n">
        <v>46204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7208-2024</t>
        </is>
      </c>
      <c r="B243" s="1" t="n">
        <v>45344</v>
      </c>
      <c r="C243" s="1" t="n">
        <v>46204</v>
      </c>
      <c r="D243" t="inlineStr">
        <is>
          <t>ÖSTERGÖTLANDS LÄN</t>
        </is>
      </c>
      <c r="E243" t="inlineStr">
        <is>
          <t>SÖDERKÖPING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20783-2023</t>
        </is>
      </c>
      <c r="B244" s="1" t="n">
        <v>45058</v>
      </c>
      <c r="C244" s="1" t="n">
        <v>46204</v>
      </c>
      <c r="D244" t="inlineStr">
        <is>
          <t>ÖSTERGÖTLANDS LÄN</t>
        </is>
      </c>
      <c r="E244" t="inlineStr">
        <is>
          <t>SÖDERKÖPING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46781-2025</t>
        </is>
      </c>
      <c r="B245" s="1" t="n">
        <v>45926</v>
      </c>
      <c r="C245" s="1" t="n">
        <v>46204</v>
      </c>
      <c r="D245" t="inlineStr">
        <is>
          <t>ÖSTERGÖTLANDS LÄN</t>
        </is>
      </c>
      <c r="E245" t="inlineStr">
        <is>
          <t>SÖDERKÖPING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20258-2026</t>
        </is>
      </c>
      <c r="B246" s="1" t="n">
        <v>46139</v>
      </c>
      <c r="C246" s="1" t="n">
        <v>46204</v>
      </c>
      <c r="D246" t="inlineStr">
        <is>
          <t>ÖSTERGÖTLANDS LÄN</t>
        </is>
      </c>
      <c r="E246" t="inlineStr">
        <is>
          <t>SÖDERKÖPING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20250-2026</t>
        </is>
      </c>
      <c r="B247" s="1" t="n">
        <v>46139</v>
      </c>
      <c r="C247" s="1" t="n">
        <v>46204</v>
      </c>
      <c r="D247" t="inlineStr">
        <is>
          <t>ÖSTERGÖTLANDS LÄN</t>
        </is>
      </c>
      <c r="E247" t="inlineStr">
        <is>
          <t>SÖDERKÖPING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19974-2026</t>
        </is>
      </c>
      <c r="B248" s="1" t="n">
        <v>46136</v>
      </c>
      <c r="C248" s="1" t="n">
        <v>46204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20265-2026</t>
        </is>
      </c>
      <c r="B249" s="1" t="n">
        <v>46139</v>
      </c>
      <c r="C249" s="1" t="n">
        <v>46204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13055-2025</t>
        </is>
      </c>
      <c r="B250" s="1" t="n">
        <v>45734</v>
      </c>
      <c r="C250" s="1" t="n">
        <v>46204</v>
      </c>
      <c r="D250" t="inlineStr">
        <is>
          <t>ÖSTERGÖTLANDS LÄN</t>
        </is>
      </c>
      <c r="E250" t="inlineStr">
        <is>
          <t>SÖDERKÖPING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4498-2023</t>
        </is>
      </c>
      <c r="B251" s="1" t="n">
        <v>44956</v>
      </c>
      <c r="C251" s="1" t="n">
        <v>46204</v>
      </c>
      <c r="D251" t="inlineStr">
        <is>
          <t>ÖSTERGÖTLANDS LÄN</t>
        </is>
      </c>
      <c r="E251" t="inlineStr">
        <is>
          <t>SÖDERKÖPING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20301-2026</t>
        </is>
      </c>
      <c r="B252" s="1" t="n">
        <v>46139</v>
      </c>
      <c r="C252" s="1" t="n">
        <v>46204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21901-2022</t>
        </is>
      </c>
      <c r="B253" s="1" t="n">
        <v>44711</v>
      </c>
      <c r="C253" s="1" t="n">
        <v>46204</v>
      </c>
      <c r="D253" t="inlineStr">
        <is>
          <t>ÖSTERGÖTLANDS LÄN</t>
        </is>
      </c>
      <c r="E253" t="inlineStr">
        <is>
          <t>SÖDERKÖPING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50870-2023</t>
        </is>
      </c>
      <c r="B254" s="1" t="n">
        <v>45218</v>
      </c>
      <c r="C254" s="1" t="n">
        <v>46204</v>
      </c>
      <c r="D254" t="inlineStr">
        <is>
          <t>ÖSTERGÖTLANDS LÄN</t>
        </is>
      </c>
      <c r="E254" t="inlineStr">
        <is>
          <t>SÖDERKÖPING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20684-2026</t>
        </is>
      </c>
      <c r="B255" s="1" t="n">
        <v>46141</v>
      </c>
      <c r="C255" s="1" t="n">
        <v>46204</v>
      </c>
      <c r="D255" t="inlineStr">
        <is>
          <t>ÖSTERGÖTLANDS LÄN</t>
        </is>
      </c>
      <c r="E255" t="inlineStr">
        <is>
          <t>SÖDERKÖPING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26576-2026</t>
        </is>
      </c>
      <c r="B256" s="1" t="n">
        <v>46183</v>
      </c>
      <c r="C256" s="1" t="n">
        <v>46204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26439-2026</t>
        </is>
      </c>
      <c r="B257" s="1" t="n">
        <v>46183</v>
      </c>
      <c r="C257" s="1" t="n">
        <v>46204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20688-2026</t>
        </is>
      </c>
      <c r="B258" s="1" t="n">
        <v>46141</v>
      </c>
      <c r="C258" s="1" t="n">
        <v>46204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9746-2022</t>
        </is>
      </c>
      <c r="B259" s="1" t="n">
        <v>44618</v>
      </c>
      <c r="C259" s="1" t="n">
        <v>46204</v>
      </c>
      <c r="D259" t="inlineStr">
        <is>
          <t>ÖSTERGÖTLANDS LÄN</t>
        </is>
      </c>
      <c r="E259" t="inlineStr">
        <is>
          <t>SÖDERKÖPING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75-2024</t>
        </is>
      </c>
      <c r="B260" s="1" t="n">
        <v>45293</v>
      </c>
      <c r="C260" s="1" t="n">
        <v>46204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42753-2023</t>
        </is>
      </c>
      <c r="B261" s="1" t="n">
        <v>45181</v>
      </c>
      <c r="C261" s="1" t="n">
        <v>46204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26554-2026</t>
        </is>
      </c>
      <c r="B262" s="1" t="n">
        <v>46183</v>
      </c>
      <c r="C262" s="1" t="n">
        <v>46204</v>
      </c>
      <c r="D262" t="inlineStr">
        <is>
          <t>ÖSTERGÖTLANDS LÄN</t>
        </is>
      </c>
      <c r="E262" t="inlineStr">
        <is>
          <t>SÖDERKÖPING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26550-2026</t>
        </is>
      </c>
      <c r="B263" s="1" t="n">
        <v>46183</v>
      </c>
      <c r="C263" s="1" t="n">
        <v>46204</v>
      </c>
      <c r="D263" t="inlineStr">
        <is>
          <t>ÖSTERGÖTLANDS LÄN</t>
        </is>
      </c>
      <c r="E263" t="inlineStr">
        <is>
          <t>SÖDERKÖPING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34979-2025</t>
        </is>
      </c>
      <c r="B264" s="1" t="n">
        <v>45849</v>
      </c>
      <c r="C264" s="1" t="n">
        <v>46204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26573-2026</t>
        </is>
      </c>
      <c r="B265" s="1" t="n">
        <v>46183</v>
      </c>
      <c r="C265" s="1" t="n">
        <v>46204</v>
      </c>
      <c r="D265" t="inlineStr">
        <is>
          <t>ÖSTERGÖTLANDS LÄN</t>
        </is>
      </c>
      <c r="E265" t="inlineStr">
        <is>
          <t>SÖDERKÖPING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26582-2026</t>
        </is>
      </c>
      <c r="B266" s="1" t="n">
        <v>46183</v>
      </c>
      <c r="C266" s="1" t="n">
        <v>46204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26595-2026</t>
        </is>
      </c>
      <c r="B267" s="1" t="n">
        <v>46183</v>
      </c>
      <c r="C267" s="1" t="n">
        <v>46204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20703-2026</t>
        </is>
      </c>
      <c r="B268" s="1" t="n">
        <v>46141</v>
      </c>
      <c r="C268" s="1" t="n">
        <v>46204</v>
      </c>
      <c r="D268" t="inlineStr">
        <is>
          <t>ÖSTERGÖTLANDS LÄN</t>
        </is>
      </c>
      <c r="E268" t="inlineStr">
        <is>
          <t>SÖDERKÖPING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20705-2026</t>
        </is>
      </c>
      <c r="B269" s="1" t="n">
        <v>46141</v>
      </c>
      <c r="C269" s="1" t="n">
        <v>46204</v>
      </c>
      <c r="D269" t="inlineStr">
        <is>
          <t>ÖSTERGÖTLANDS LÄN</t>
        </is>
      </c>
      <c r="E269" t="inlineStr">
        <is>
          <t>SÖDERKÖPING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53889-2021</t>
        </is>
      </c>
      <c r="B270" s="1" t="n">
        <v>44469</v>
      </c>
      <c r="C270" s="1" t="n">
        <v>46204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48555-2023</t>
        </is>
      </c>
      <c r="B271" s="1" t="n">
        <v>45208</v>
      </c>
      <c r="C271" s="1" t="n">
        <v>46204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53315-2024</t>
        </is>
      </c>
      <c r="B272" s="1" t="n">
        <v>45614</v>
      </c>
      <c r="C272" s="1" t="n">
        <v>46204</v>
      </c>
      <c r="D272" t="inlineStr">
        <is>
          <t>ÖSTERGÖTLANDS LÄN</t>
        </is>
      </c>
      <c r="E272" t="inlineStr">
        <is>
          <t>SÖDERKÖPING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3786-2023</t>
        </is>
      </c>
      <c r="B273" s="1" t="n">
        <v>44951</v>
      </c>
      <c r="C273" s="1" t="n">
        <v>46204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43889-2023</t>
        </is>
      </c>
      <c r="B274" s="1" t="n">
        <v>45187</v>
      </c>
      <c r="C274" s="1" t="n">
        <v>46204</v>
      </c>
      <c r="D274" t="inlineStr">
        <is>
          <t>ÖSTERGÖTLANDS LÄN</t>
        </is>
      </c>
      <c r="E274" t="inlineStr">
        <is>
          <t>SÖDERKÖPING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43891-2023</t>
        </is>
      </c>
      <c r="B275" s="1" t="n">
        <v>45187</v>
      </c>
      <c r="C275" s="1" t="n">
        <v>46204</v>
      </c>
      <c r="D275" t="inlineStr">
        <is>
          <t>ÖSTERGÖTLANDS LÄN</t>
        </is>
      </c>
      <c r="E275" t="inlineStr">
        <is>
          <t>SÖDERKÖPING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356-2024</t>
        </is>
      </c>
      <c r="B276" s="1" t="n">
        <v>45295</v>
      </c>
      <c r="C276" s="1" t="n">
        <v>46204</v>
      </c>
      <c r="D276" t="inlineStr">
        <is>
          <t>ÖSTERGÖTLANDS LÄN</t>
        </is>
      </c>
      <c r="E276" t="inlineStr">
        <is>
          <t>SÖDERKÖPING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46204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20967-2023</t>
        </is>
      </c>
      <c r="B278" s="1" t="n">
        <v>45061</v>
      </c>
      <c r="C278" s="1" t="n">
        <v>46204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50588-2024</t>
        </is>
      </c>
      <c r="B279" s="1" t="n">
        <v>45601</v>
      </c>
      <c r="C279" s="1" t="n">
        <v>46204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3913-2025</t>
        </is>
      </c>
      <c r="B280" s="1" t="n">
        <v>45684</v>
      </c>
      <c r="C280" s="1" t="n">
        <v>46204</v>
      </c>
      <c r="D280" t="inlineStr">
        <is>
          <t>ÖSTERGÖTLANDS LÄN</t>
        </is>
      </c>
      <c r="E280" t="inlineStr">
        <is>
          <t>SÖDERKÖPING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50040-2023</t>
        </is>
      </c>
      <c r="B281" s="1" t="n">
        <v>45215</v>
      </c>
      <c r="C281" s="1" t="n">
        <v>46204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Kyrkan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22208-2026</t>
        </is>
      </c>
      <c r="B282" s="1" t="n">
        <v>46153</v>
      </c>
      <c r="C282" s="1" t="n">
        <v>46204</v>
      </c>
      <c r="D282" t="inlineStr">
        <is>
          <t>ÖSTERGÖTLANDS LÄN</t>
        </is>
      </c>
      <c r="E282" t="inlineStr">
        <is>
          <t>SÖDERKÖPING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21903-2026</t>
        </is>
      </c>
      <c r="B283" s="1" t="n">
        <v>46150</v>
      </c>
      <c r="C283" s="1" t="n">
        <v>46204</v>
      </c>
      <c r="D283" t="inlineStr">
        <is>
          <t>ÖSTERGÖTLANDS LÄN</t>
        </is>
      </c>
      <c r="E283" t="inlineStr">
        <is>
          <t>SÖDERKÖPING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309-2024</t>
        </is>
      </c>
      <c r="B284" s="1" t="n">
        <v>45295</v>
      </c>
      <c r="C284" s="1" t="n">
        <v>46204</v>
      </c>
      <c r="D284" t="inlineStr">
        <is>
          <t>ÖSTERGÖTLANDS LÄN</t>
        </is>
      </c>
      <c r="E284" t="inlineStr">
        <is>
          <t>SÖDERKÖPING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21893-2026</t>
        </is>
      </c>
      <c r="B285" s="1" t="n">
        <v>46150</v>
      </c>
      <c r="C285" s="1" t="n">
        <v>46204</v>
      </c>
      <c r="D285" t="inlineStr">
        <is>
          <t>ÖSTERGÖTLANDS LÄN</t>
        </is>
      </c>
      <c r="E285" t="inlineStr">
        <is>
          <t>SÖDERKÖPING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30114-2024</t>
        </is>
      </c>
      <c r="B286" s="1" t="n">
        <v>45489</v>
      </c>
      <c r="C286" s="1" t="n">
        <v>46204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21898-2026</t>
        </is>
      </c>
      <c r="B287" s="1" t="n">
        <v>46150</v>
      </c>
      <c r="C287" s="1" t="n">
        <v>46204</v>
      </c>
      <c r="D287" t="inlineStr">
        <is>
          <t>ÖSTERGÖTLANDS LÄN</t>
        </is>
      </c>
      <c r="E287" t="inlineStr">
        <is>
          <t>SÖDERKÖPING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56213-2022</t>
        </is>
      </c>
      <c r="B288" s="1" t="n">
        <v>44890</v>
      </c>
      <c r="C288" s="1" t="n">
        <v>46204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28383-2026</t>
        </is>
      </c>
      <c r="B289" s="1" t="n">
        <v>46196</v>
      </c>
      <c r="C289" s="1" t="n">
        <v>46204</v>
      </c>
      <c r="D289" t="inlineStr">
        <is>
          <t>ÖSTERGÖTLANDS LÄN</t>
        </is>
      </c>
      <c r="E289" t="inlineStr">
        <is>
          <t>SÖDERKÖPING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55772-2023</t>
        </is>
      </c>
      <c r="B290" s="1" t="n">
        <v>45239</v>
      </c>
      <c r="C290" s="1" t="n">
        <v>46204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22471-2026</t>
        </is>
      </c>
      <c r="B291" s="1" t="n">
        <v>46155</v>
      </c>
      <c r="C291" s="1" t="n">
        <v>46204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20251-2023</t>
        </is>
      </c>
      <c r="B292" s="1" t="n">
        <v>45055</v>
      </c>
      <c r="C292" s="1" t="n">
        <v>46204</v>
      </c>
      <c r="D292" t="inlineStr">
        <is>
          <t>ÖSTERGÖTLANDS LÄN</t>
        </is>
      </c>
      <c r="E292" t="inlineStr">
        <is>
          <t>SÖDERKÖPING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20253-2023</t>
        </is>
      </c>
      <c r="B293" s="1" t="n">
        <v>45055</v>
      </c>
      <c r="C293" s="1" t="n">
        <v>46204</v>
      </c>
      <c r="D293" t="inlineStr">
        <is>
          <t>ÖSTERGÖTLANDS LÄN</t>
        </is>
      </c>
      <c r="E293" t="inlineStr">
        <is>
          <t>SÖDERKÖPING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40357-2023</t>
        </is>
      </c>
      <c r="B294" s="1" t="n">
        <v>45169</v>
      </c>
      <c r="C294" s="1" t="n">
        <v>46204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5339-2025</t>
        </is>
      </c>
      <c r="B295" s="1" t="n">
        <v>45692</v>
      </c>
      <c r="C295" s="1" t="n">
        <v>46204</v>
      </c>
      <c r="D295" t="inlineStr">
        <is>
          <t>ÖSTERGÖTLANDS LÄN</t>
        </is>
      </c>
      <c r="E295" t="inlineStr">
        <is>
          <t>SÖDERKÖPING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22482-2026</t>
        </is>
      </c>
      <c r="B296" s="1" t="n">
        <v>46155</v>
      </c>
      <c r="C296" s="1" t="n">
        <v>46204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58372-2023</t>
        </is>
      </c>
      <c r="B297" s="1" t="n">
        <v>45250</v>
      </c>
      <c r="C297" s="1" t="n">
        <v>46204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42673-2023</t>
        </is>
      </c>
      <c r="B298" s="1" t="n">
        <v>45181</v>
      </c>
      <c r="C298" s="1" t="n">
        <v>46204</v>
      </c>
      <c r="D298" t="inlineStr">
        <is>
          <t>ÖSTERGÖTLANDS LÄN</t>
        </is>
      </c>
      <c r="E298" t="inlineStr">
        <is>
          <t>SÖDERKÖPING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47419-2024</t>
        </is>
      </c>
      <c r="B299" s="1" t="n">
        <v>45586</v>
      </c>
      <c r="C299" s="1" t="n">
        <v>46204</v>
      </c>
      <c r="D299" t="inlineStr">
        <is>
          <t>ÖSTERGÖTLANDS LÄN</t>
        </is>
      </c>
      <c r="E299" t="inlineStr">
        <is>
          <t>SÖDERKÖPING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46204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23120-2026</t>
        </is>
      </c>
      <c r="B301" s="1" t="n">
        <v>46161</v>
      </c>
      <c r="C301" s="1" t="n">
        <v>46204</v>
      </c>
      <c r="D301" t="inlineStr">
        <is>
          <t>ÖSTERGÖTLANDS LÄN</t>
        </is>
      </c>
      <c r="E301" t="inlineStr">
        <is>
          <t>SÖDERKÖPING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6419-2023</t>
        </is>
      </c>
      <c r="B302" s="1" t="n">
        <v>44965</v>
      </c>
      <c r="C302" s="1" t="n">
        <v>46204</v>
      </c>
      <c r="D302" t="inlineStr">
        <is>
          <t>ÖSTERGÖTLANDS LÄN</t>
        </is>
      </c>
      <c r="E302" t="inlineStr">
        <is>
          <t>SÖDERKÖPING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13802-2025</t>
        </is>
      </c>
      <c r="B303" s="1" t="n">
        <v>45737</v>
      </c>
      <c r="C303" s="1" t="n">
        <v>46204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41958-2023</t>
        </is>
      </c>
      <c r="B304" s="1" t="n">
        <v>45174</v>
      </c>
      <c r="C304" s="1" t="n">
        <v>46204</v>
      </c>
      <c r="D304" t="inlineStr">
        <is>
          <t>ÖSTERGÖTLANDS LÄN</t>
        </is>
      </c>
      <c r="E304" t="inlineStr">
        <is>
          <t>SÖDERKÖPING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1247-2022</t>
        </is>
      </c>
      <c r="B305" s="1" t="n">
        <v>44572</v>
      </c>
      <c r="C305" s="1" t="n">
        <v>46204</v>
      </c>
      <c r="D305" t="inlineStr">
        <is>
          <t>ÖSTERGÖTLANDS LÄN</t>
        </is>
      </c>
      <c r="E305" t="inlineStr">
        <is>
          <t>SÖDERKÖPING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5072-2022</t>
        </is>
      </c>
      <c r="B306" s="1" t="n">
        <v>44593</v>
      </c>
      <c r="C306" s="1" t="n">
        <v>46204</v>
      </c>
      <c r="D306" t="inlineStr">
        <is>
          <t>ÖSTERGÖTLANDS LÄN</t>
        </is>
      </c>
      <c r="E306" t="inlineStr">
        <is>
          <t>SÖDERKÖPING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13889-2025</t>
        </is>
      </c>
      <c r="B307" s="1" t="n">
        <v>45737</v>
      </c>
      <c r="C307" s="1" t="n">
        <v>46204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29374-2022</t>
        </is>
      </c>
      <c r="B308" s="1" t="n">
        <v>44753</v>
      </c>
      <c r="C308" s="1" t="n">
        <v>46204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49251-2024</t>
        </is>
      </c>
      <c r="B309" s="1" t="n">
        <v>45595</v>
      </c>
      <c r="C309" s="1" t="n">
        <v>46204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57027-2024</t>
        </is>
      </c>
      <c r="B310" s="1" t="n">
        <v>45628</v>
      </c>
      <c r="C310" s="1" t="n">
        <v>46204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41245-2023</t>
        </is>
      </c>
      <c r="B311" s="1" t="n">
        <v>45174</v>
      </c>
      <c r="C311" s="1" t="n">
        <v>46204</v>
      </c>
      <c r="D311" t="inlineStr">
        <is>
          <t>ÖSTERGÖTLANDS LÄN</t>
        </is>
      </c>
      <c r="E311" t="inlineStr">
        <is>
          <t>SÖDERKÖPING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459-2024</t>
        </is>
      </c>
      <c r="B312" s="1" t="n">
        <v>45297</v>
      </c>
      <c r="C312" s="1" t="n">
        <v>46204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12708-2024</t>
        </is>
      </c>
      <c r="B313" s="1" t="n">
        <v>45379</v>
      </c>
      <c r="C313" s="1" t="n">
        <v>46204</v>
      </c>
      <c r="D313" t="inlineStr">
        <is>
          <t>ÖSTERGÖTLANDS LÄN</t>
        </is>
      </c>
      <c r="E313" t="inlineStr">
        <is>
          <t>SÖDERKÖPING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27598-2023</t>
        </is>
      </c>
      <c r="B314" s="1" t="n">
        <v>45097</v>
      </c>
      <c r="C314" s="1" t="n">
        <v>46204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55853-2022</t>
        </is>
      </c>
      <c r="B315" s="1" t="n">
        <v>44888</v>
      </c>
      <c r="C315" s="1" t="n">
        <v>46204</v>
      </c>
      <c r="D315" t="inlineStr">
        <is>
          <t>ÖSTERGÖTLANDS LÄN</t>
        </is>
      </c>
      <c r="E315" t="inlineStr">
        <is>
          <t>SÖDERKÖPING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45476-2023</t>
        </is>
      </c>
      <c r="B316" s="1" t="n">
        <v>45194</v>
      </c>
      <c r="C316" s="1" t="n">
        <v>46204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42358-2023</t>
        </is>
      </c>
      <c r="B317" s="1" t="n">
        <v>45180</v>
      </c>
      <c r="C317" s="1" t="n">
        <v>46204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Allmännings- och besparingsskogar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4526-2025</t>
        </is>
      </c>
      <c r="B318" s="1" t="n">
        <v>45687</v>
      </c>
      <c r="C318" s="1" t="n">
        <v>46204</v>
      </c>
      <c r="D318" t="inlineStr">
        <is>
          <t>ÖSTERGÖTLANDS LÄN</t>
        </is>
      </c>
      <c r="E318" t="inlineStr">
        <is>
          <t>SÖDERKÖPING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7902-2025</t>
        </is>
      </c>
      <c r="B319" s="1" t="n">
        <v>45707</v>
      </c>
      <c r="C319" s="1" t="n">
        <v>46204</v>
      </c>
      <c r="D319" t="inlineStr">
        <is>
          <t>ÖSTERGÖTLANDS LÄN</t>
        </is>
      </c>
      <c r="E319" t="inlineStr">
        <is>
          <t>SÖDERKÖPING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46417-2023</t>
        </is>
      </c>
      <c r="B320" s="1" t="n">
        <v>45197</v>
      </c>
      <c r="C320" s="1" t="n">
        <v>46204</v>
      </c>
      <c r="D320" t="inlineStr">
        <is>
          <t>ÖSTERGÖTLANDS LÄN</t>
        </is>
      </c>
      <c r="E320" t="inlineStr">
        <is>
          <t>SÖDERKÖPING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20254-2023</t>
        </is>
      </c>
      <c r="B321" s="1" t="n">
        <v>45055</v>
      </c>
      <c r="C321" s="1" t="n">
        <v>46204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458-2024</t>
        </is>
      </c>
      <c r="B322" s="1" t="n">
        <v>45297</v>
      </c>
      <c r="C322" s="1" t="n">
        <v>46204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22512-2024</t>
        </is>
      </c>
      <c r="B323" s="1" t="n">
        <v>45447</v>
      </c>
      <c r="C323" s="1" t="n">
        <v>46204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Kommuner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7071-2025</t>
        </is>
      </c>
      <c r="B324" s="1" t="n">
        <v>45701</v>
      </c>
      <c r="C324" s="1" t="n">
        <v>46204</v>
      </c>
      <c r="D324" t="inlineStr">
        <is>
          <t>ÖSTERGÖTLANDS LÄN</t>
        </is>
      </c>
      <c r="E324" t="inlineStr">
        <is>
          <t>SÖDERKÖPING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13865-2025</t>
        </is>
      </c>
      <c r="B325" s="1" t="n">
        <v>45737</v>
      </c>
      <c r="C325" s="1" t="n">
        <v>46204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13920-2025</t>
        </is>
      </c>
      <c r="B326" s="1" t="n">
        <v>45737</v>
      </c>
      <c r="C326" s="1" t="n">
        <v>46204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6615-2025</t>
        </is>
      </c>
      <c r="B327" s="1" t="n">
        <v>45700</v>
      </c>
      <c r="C327" s="1" t="n">
        <v>46204</v>
      </c>
      <c r="D327" t="inlineStr">
        <is>
          <t>ÖSTERGÖTLANDS LÄN</t>
        </is>
      </c>
      <c r="E327" t="inlineStr">
        <is>
          <t>SÖDERKÖPING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9729-2023</t>
        </is>
      </c>
      <c r="B328" s="1" t="n">
        <v>44984</v>
      </c>
      <c r="C328" s="1" t="n">
        <v>46204</v>
      </c>
      <c r="D328" t="inlineStr">
        <is>
          <t>ÖSTERGÖTLANDS LÄN</t>
        </is>
      </c>
      <c r="E328" t="inlineStr">
        <is>
          <t>SÖDERKÖPING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51746-2023</t>
        </is>
      </c>
      <c r="B329" s="1" t="n">
        <v>45222</v>
      </c>
      <c r="C329" s="1" t="n">
        <v>46204</v>
      </c>
      <c r="D329" t="inlineStr">
        <is>
          <t>ÖSTERGÖTLANDS LÄN</t>
        </is>
      </c>
      <c r="E329" t="inlineStr">
        <is>
          <t>SÖDERKÖPING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31315-2024</t>
        </is>
      </c>
      <c r="B330" s="1" t="n">
        <v>45504</v>
      </c>
      <c r="C330" s="1" t="n">
        <v>46204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31312-2024</t>
        </is>
      </c>
      <c r="B331" s="1" t="n">
        <v>45504</v>
      </c>
      <c r="C331" s="1" t="n">
        <v>46204</v>
      </c>
      <c r="D331" t="inlineStr">
        <is>
          <t>ÖSTERGÖTLANDS LÄN</t>
        </is>
      </c>
      <c r="E331" t="inlineStr">
        <is>
          <t>SÖDERKÖPING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20310-2024</t>
        </is>
      </c>
      <c r="B332" s="1" t="n">
        <v>45435</v>
      </c>
      <c r="C332" s="1" t="n">
        <v>46204</v>
      </c>
      <c r="D332" t="inlineStr">
        <is>
          <t>ÖSTERGÖTLANDS LÄN</t>
        </is>
      </c>
      <c r="E332" t="inlineStr">
        <is>
          <t>SÖDERKÖPING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50574-2024</t>
        </is>
      </c>
      <c r="B333" s="1" t="n">
        <v>45601</v>
      </c>
      <c r="C333" s="1" t="n">
        <v>46204</v>
      </c>
      <c r="D333" t="inlineStr">
        <is>
          <t>ÖSTERGÖTLANDS LÄN</t>
        </is>
      </c>
      <c r="E333" t="inlineStr">
        <is>
          <t>SÖDERKÖPING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5310-2025</t>
        </is>
      </c>
      <c r="B334" s="1" t="n">
        <v>45692</v>
      </c>
      <c r="C334" s="1" t="n">
        <v>46204</v>
      </c>
      <c r="D334" t="inlineStr">
        <is>
          <t>ÖSTERGÖTLANDS LÄN</t>
        </is>
      </c>
      <c r="E334" t="inlineStr">
        <is>
          <t>SÖDERKÖPING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31305-2024</t>
        </is>
      </c>
      <c r="B335" s="1" t="n">
        <v>45504</v>
      </c>
      <c r="C335" s="1" t="n">
        <v>46204</v>
      </c>
      <c r="D335" t="inlineStr">
        <is>
          <t>ÖSTERGÖTLANDS LÄN</t>
        </is>
      </c>
      <c r="E335" t="inlineStr">
        <is>
          <t>SÖDERKÖPING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31314-2024</t>
        </is>
      </c>
      <c r="B336" s="1" t="n">
        <v>45504</v>
      </c>
      <c r="C336" s="1" t="n">
        <v>46204</v>
      </c>
      <c r="D336" t="inlineStr">
        <is>
          <t>ÖSTERGÖTLANDS LÄN</t>
        </is>
      </c>
      <c r="E336" t="inlineStr">
        <is>
          <t>SÖDERKÖPING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43495-2023</t>
        </is>
      </c>
      <c r="B337" s="1" t="n">
        <v>45184</v>
      </c>
      <c r="C337" s="1" t="n">
        <v>46204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22918-2025</t>
        </is>
      </c>
      <c r="B338" s="1" t="n">
        <v>45790</v>
      </c>
      <c r="C338" s="1" t="n">
        <v>46204</v>
      </c>
      <c r="D338" t="inlineStr">
        <is>
          <t>ÖSTERGÖTLANDS LÄN</t>
        </is>
      </c>
      <c r="E338" t="inlineStr">
        <is>
          <t>SÖDERKÖPING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23451-2025</t>
        </is>
      </c>
      <c r="B339" s="1" t="n">
        <v>45792</v>
      </c>
      <c r="C339" s="1" t="n">
        <v>46204</v>
      </c>
      <c r="D339" t="inlineStr">
        <is>
          <t>ÖSTERGÖTLANDS LÄN</t>
        </is>
      </c>
      <c r="E339" t="inlineStr">
        <is>
          <t>SÖDERKÖPING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59885-2023</t>
        </is>
      </c>
      <c r="B340" s="1" t="n">
        <v>45257</v>
      </c>
      <c r="C340" s="1" t="n">
        <v>46204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24355-2025</t>
        </is>
      </c>
      <c r="B341" s="1" t="n">
        <v>45797</v>
      </c>
      <c r="C341" s="1" t="n">
        <v>46204</v>
      </c>
      <c r="D341" t="inlineStr">
        <is>
          <t>ÖSTERGÖTLANDS LÄN</t>
        </is>
      </c>
      <c r="E341" t="inlineStr">
        <is>
          <t>SÖDERKÖPING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24344-2025</t>
        </is>
      </c>
      <c r="B342" s="1" t="n">
        <v>45797</v>
      </c>
      <c r="C342" s="1" t="n">
        <v>46204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4224-2025</t>
        </is>
      </c>
      <c r="B343" s="1" t="n">
        <v>45685</v>
      </c>
      <c r="C343" s="1" t="n">
        <v>46204</v>
      </c>
      <c r="D343" t="inlineStr">
        <is>
          <t>ÖSTERGÖTLANDS LÄN</t>
        </is>
      </c>
      <c r="E343" t="inlineStr">
        <is>
          <t>SÖDERKÖPING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5300-2025</t>
        </is>
      </c>
      <c r="B344" s="1" t="n">
        <v>45692</v>
      </c>
      <c r="C344" s="1" t="n">
        <v>46204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2033-2023</t>
        </is>
      </c>
      <c r="B345" s="1" t="n">
        <v>44939</v>
      </c>
      <c r="C345" s="1" t="n">
        <v>46204</v>
      </c>
      <c r="D345" t="inlineStr">
        <is>
          <t>ÖSTERGÖTLANDS LÄN</t>
        </is>
      </c>
      <c r="E345" t="inlineStr">
        <is>
          <t>SÖDERKÖPING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14776-2025</t>
        </is>
      </c>
      <c r="B346" s="1" t="n">
        <v>45742</v>
      </c>
      <c r="C346" s="1" t="n">
        <v>46204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28482-2025</t>
        </is>
      </c>
      <c r="B347" s="1" t="n">
        <v>45817</v>
      </c>
      <c r="C347" s="1" t="n">
        <v>46204</v>
      </c>
      <c r="D347" t="inlineStr">
        <is>
          <t>ÖSTERGÖTLANDS LÄN</t>
        </is>
      </c>
      <c r="E347" t="inlineStr">
        <is>
          <t>SÖDERKÖPING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28487-2025</t>
        </is>
      </c>
      <c r="B348" s="1" t="n">
        <v>45817</v>
      </c>
      <c r="C348" s="1" t="n">
        <v>46204</v>
      </c>
      <c r="D348" t="inlineStr">
        <is>
          <t>ÖSTERGÖTLANDS LÄN</t>
        </is>
      </c>
      <c r="E348" t="inlineStr">
        <is>
          <t>SÖDERKÖPING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28350-2025</t>
        </is>
      </c>
      <c r="B349" s="1" t="n">
        <v>45818</v>
      </c>
      <c r="C349" s="1" t="n">
        <v>46204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2026-07-01T01:00:08Z</dcterms:created>
  <dcterms:modified xmlns:dcterms="http://purl.org/dc/terms/" xmlns:xsi="http://www.w3.org/2001/XMLSchema-instance" xsi:type="dcterms:W3CDTF">2026-07-01T01:00:09Z</dcterms:modified>
</cp:coreProperties>
</file>