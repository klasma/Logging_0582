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46281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46281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46281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46281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46281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46281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46281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46281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46281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46281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46281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46281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46281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46281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46281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4709-2025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45688</v>
      </c>
      <c r="E26" s="1" t="n">
        <v>46281</v>
      </c>
      <c r="F26" t="inlineStr">
        <is>
          <t>ÖSTERGÖTLANDS LÄN</t>
        </is>
      </c>
      <c r="G26" t="inlineStr">
        <is>
          <t>SÖDERKÖPING</t>
        </is>
      </c>
      <c r="I26" t="n">
        <v>5.1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HYPERLINK("https://klasma.github.io/Logging_0582/artfynd/A 4709-2025 artfynd.xlsx", "A 4709-2025")</f>
        <v/>
      </c>
      <c r="X26">
        <f>HYPERLINK("https://klasma.github.io/Logging_0582/kartor/A 4709-2025 karta.png", "A 4709-2025")</f>
        <v/>
      </c>
      <c r="Y26">
        <f>HYPERLINK("https://klasma.github.io/Logging_0582/kartor_geotiff/A 4709-2025 georefererad karta.tif", "A 4709-2025")</f>
        <v/>
      </c>
      <c r="AA26">
        <f>HYPERLINK("https://klasma.github.io/Logging_0582/klagomål/A 4709-2025 FSC-klagomål.docx", "A 4709-2025")</f>
        <v/>
      </c>
      <c r="AB26">
        <f>HYPERLINK("https://klasma.github.io/Logging_0582/klagomålsmail/A 4709-2025 FSC-klagomål mail.docx", "A 4709-2025")</f>
        <v/>
      </c>
      <c r="AC26">
        <f>HYPERLINK("https://klasma.github.io/Logging_0582/tillsyn/A 4709-2025 tillsynsbegäran.docx", "A 4709-2025")</f>
        <v/>
      </c>
      <c r="AD26">
        <f>HYPERLINK("https://klasma.github.io/Logging_0582/tillsynsmail/A 4709-2025 tillsynsbegäran mail.docx", "A 4709-2025")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46281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46281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46281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46281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22512-2024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46281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Kommuner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Skogsstjärna</t>
        </is>
      </c>
      <c r="W31">
        <f>HYPERLINK("https://klasma.github.io/Logging_0582/artfynd/A 22512-2024 artfynd.xlsx", "A 22512-2024")</f>
        <v/>
      </c>
      <c r="X31">
        <f>HYPERLINK("https://klasma.github.io/Logging_0582/kartor/A 22512-2024 karta.png", "A 22512-2024")</f>
        <v/>
      </c>
      <c r="Y31">
        <f>HYPERLINK("https://klasma.github.io/Logging_0582/kartor_geotiff/A 22512-2024 georefererad karta.tif", "A 22512-2024")</f>
        <v/>
      </c>
      <c r="AA31">
        <f>HYPERLINK("https://klasma.github.io/Logging_0582/klagomål/A 22512-2024 FSC-klagomål.docx", "A 22512-2024")</f>
        <v/>
      </c>
      <c r="AB31">
        <f>HYPERLINK("https://klasma.github.io/Logging_0582/klagomålsmail/A 22512-2024 FSC-klagomål mail.docx", "A 22512-2024")</f>
        <v/>
      </c>
      <c r="AC31">
        <f>HYPERLINK("https://klasma.github.io/Logging_0582/tillsyn/A 22512-2024 tillsynsbegäran.docx", "A 22512-2024")</f>
        <v/>
      </c>
      <c r="AD31">
        <f>HYPERLINK("https://klasma.github.io/Logging_0582/tillsynsmail/A 22512-2024 tillsynsbegäran mail.docx", "A 22512-2024")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46281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46281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46281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46281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46281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46281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46281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46281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46281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46281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46281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46281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46281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46281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46281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46281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46281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46281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46281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46281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46281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46281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46281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46281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46281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46281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45231</v>
      </c>
      <c r="E59" s="1" t="n">
        <v>46281</v>
      </c>
      <c r="F59" t="inlineStr">
        <is>
          <t>ÖSTERGÖTLANDS LÄN</t>
        </is>
      </c>
      <c r="G59" t="inlineStr">
        <is>
          <t>SÖDERKÖPING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46281</v>
      </c>
      <c r="F60" t="inlineStr">
        <is>
          <t>ÖSTERGÖTLANDS LÄN</t>
        </is>
      </c>
      <c r="G60" t="inlineStr">
        <is>
          <t>SÖDERKÖPING</t>
        </is>
      </c>
      <c r="H60" t="inlineStr">
        <is>
          <t>Holmen skog AB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46281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46281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46281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43891-2023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46281</v>
      </c>
      <c r="F64" t="inlineStr">
        <is>
          <t>ÖSTERGÖTLANDS LÄN</t>
        </is>
      </c>
      <c r="G64" t="inlineStr">
        <is>
          <t>SÖDERKÖPING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40357-2023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45169</v>
      </c>
      <c r="E65" s="1" t="n">
        <v>46281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71426-2021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46281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44861</v>
      </c>
      <c r="E67" s="1" t="n">
        <v>46281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46281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26915-2023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46281</v>
      </c>
      <c r="F69" t="inlineStr">
        <is>
          <t>ÖSTERGÖTLANDS LÄN</t>
        </is>
      </c>
      <c r="G69" t="inlineStr">
        <is>
          <t>SÖDERKÖPING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45876</v>
      </c>
      <c r="E70" s="1" t="n">
        <v>46281</v>
      </c>
      <c r="F70" t="inlineStr">
        <is>
          <t>ÖSTERGÖTLANDS LÄN</t>
        </is>
      </c>
      <c r="G70" t="inlineStr">
        <is>
          <t>SÖDERKÖPING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45876</v>
      </c>
      <c r="E71" s="1" t="n">
        <v>46281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46281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45215</v>
      </c>
      <c r="E73" s="1" t="n">
        <v>46281</v>
      </c>
      <c r="F73" t="inlineStr">
        <is>
          <t>ÖSTERGÖTLANDS LÄN</t>
        </is>
      </c>
      <c r="G73" t="inlineStr">
        <is>
          <t>SÖDERKÖPING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459-2024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45297</v>
      </c>
      <c r="E74" s="1" t="n">
        <v>46281</v>
      </c>
      <c r="F74" t="inlineStr">
        <is>
          <t>ÖSTERGÖTLANDS LÄN</t>
        </is>
      </c>
      <c r="G74" t="inlineStr">
        <is>
          <t>SÖDERKÖPING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46281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37684-2023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45159</v>
      </c>
      <c r="E76" s="1" t="n">
        <v>46281</v>
      </c>
      <c r="F76" t="inlineStr">
        <is>
          <t>ÖSTERGÖTLANDS LÄN</t>
        </is>
      </c>
      <c r="G76" t="inlineStr">
        <is>
          <t>SÖDERKÖPING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37687-2023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46281</v>
      </c>
      <c r="F77" t="inlineStr">
        <is>
          <t>ÖSTERGÖTLANDS LÄN</t>
        </is>
      </c>
      <c r="G77" t="inlineStr">
        <is>
          <t>SÖDERKÖPING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46281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46281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45119</v>
      </c>
      <c r="E80" s="1" t="n">
        <v>46281</v>
      </c>
      <c r="F80" t="inlineStr">
        <is>
          <t>ÖSTERGÖTLANDS LÄN</t>
        </is>
      </c>
      <c r="G80" t="inlineStr">
        <is>
          <t>SÖDERKÖPING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45297</v>
      </c>
      <c r="E81" s="1" t="n">
        <v>46281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46281</v>
      </c>
      <c r="F82" t="inlineStr">
        <is>
          <t>ÖSTERGÖTLANDS LÄN</t>
        </is>
      </c>
      <c r="G82" t="inlineStr">
        <is>
          <t>SÖDERKÖPING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61514-2023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46281</v>
      </c>
      <c r="F83" t="inlineStr">
        <is>
          <t>ÖSTERGÖTLANDS LÄN</t>
        </is>
      </c>
      <c r="G83" t="inlineStr">
        <is>
          <t>SÖDERKÖPING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45489</v>
      </c>
      <c r="E84" s="1" t="n">
        <v>46281</v>
      </c>
      <c r="F84" t="inlineStr">
        <is>
          <t>ÖSTERGÖTLANDS LÄN</t>
        </is>
      </c>
      <c r="G84" t="inlineStr">
        <is>
          <t>SÖDERKÖPING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46281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Holmen skog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46281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46281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46281</v>
      </c>
      <c r="F88" t="inlineStr">
        <is>
          <t>ÖSTERGÖTLANDS LÄN</t>
        </is>
      </c>
      <c r="G88" t="inlineStr">
        <is>
          <t>SÖDERKÖPING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46281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11005-2026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46079</v>
      </c>
      <c r="E90" s="1" t="n">
        <v>46281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Kyrkan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46281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46281</v>
      </c>
      <c r="F92" t="inlineStr">
        <is>
          <t>ÖSTERGÖTLANDS LÄN</t>
        </is>
      </c>
      <c r="G92" t="inlineStr">
        <is>
          <t>SÖDERKÖPING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46084</v>
      </c>
      <c r="E93" s="1" t="n">
        <v>46281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46281</v>
      </c>
      <c r="F94" t="inlineStr">
        <is>
          <t>ÖSTERGÖTLANDS LÄN</t>
        </is>
      </c>
      <c r="G94" t="inlineStr">
        <is>
          <t>SÖDERKÖPING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46281</v>
      </c>
      <c r="F95" t="inlineStr">
        <is>
          <t>ÖSTERGÖTLANDS LÄN</t>
        </is>
      </c>
      <c r="G95" t="inlineStr">
        <is>
          <t>SÖDERKÖPING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45365</v>
      </c>
      <c r="E96" s="1" t="n">
        <v>46281</v>
      </c>
      <c r="F96" t="inlineStr">
        <is>
          <t>ÖSTERGÖTLANDS LÄN</t>
        </is>
      </c>
      <c r="G96" t="inlineStr">
        <is>
          <t>SÖDERKÖPING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46281</v>
      </c>
      <c r="F97" t="inlineStr">
        <is>
          <t>ÖSTERGÖTLANDS LÄN</t>
        </is>
      </c>
      <c r="G97" t="inlineStr">
        <is>
          <t>SÖDERKÖPING</t>
        </is>
      </c>
      <c r="I97" t="n">
        <v>26.6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44979</v>
      </c>
      <c r="E98" s="1" t="n">
        <v>46281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45295</v>
      </c>
      <c r="E99" s="1" t="n">
        <v>46281</v>
      </c>
      <c r="F99" t="inlineStr">
        <is>
          <t>ÖSTERGÖTLANDS LÄN</t>
        </is>
      </c>
      <c r="G99" t="inlineStr">
        <is>
          <t>SÖDERKÖPING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46281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46281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46281</v>
      </c>
      <c r="F102" t="inlineStr">
        <is>
          <t>ÖSTERGÖTLANDS LÄN</t>
        </is>
      </c>
      <c r="G102" t="inlineStr">
        <is>
          <t>SÖDERKÖPING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46281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46281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46281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46281</v>
      </c>
      <c r="F106" t="inlineStr">
        <is>
          <t>ÖSTERGÖTLANDS LÄN</t>
        </is>
      </c>
      <c r="G106" t="inlineStr">
        <is>
          <t>SÖDERKÖPING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44775</v>
      </c>
      <c r="E107" s="1" t="n">
        <v>46281</v>
      </c>
      <c r="F107" t="inlineStr">
        <is>
          <t>ÖSTERGÖTLANDS LÄN</t>
        </is>
      </c>
      <c r="G107" t="inlineStr">
        <is>
          <t>SÖDERKÖPING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45197</v>
      </c>
      <c r="E108" s="1" t="n">
        <v>46281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45742</v>
      </c>
      <c r="E109" s="1" t="n">
        <v>46281</v>
      </c>
      <c r="F109" t="inlineStr">
        <is>
          <t>ÖSTERGÖTLANDS LÄN</t>
        </is>
      </c>
      <c r="G109" t="inlineStr">
        <is>
          <t>SÖDERKÖPING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46281</v>
      </c>
      <c r="F110" t="inlineStr">
        <is>
          <t>ÖSTERGÖTLANDS LÄN</t>
        </is>
      </c>
      <c r="G110" t="inlineStr">
        <is>
          <t>SÖDERKÖPING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16232-2026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46281</v>
      </c>
      <c r="F111" t="inlineStr">
        <is>
          <t>ÖSTERGÖTLANDS LÄN</t>
        </is>
      </c>
      <c r="G111" t="inlineStr">
        <is>
          <t>SÖDERKÖPING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46281</v>
      </c>
      <c r="F112" t="inlineStr">
        <is>
          <t>ÖSTERGÖTLANDS LÄN</t>
        </is>
      </c>
      <c r="G112" t="inlineStr">
        <is>
          <t>SÖDERKÖPING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46281</v>
      </c>
      <c r="F113" t="inlineStr">
        <is>
          <t>ÖSTERGÖTLANDS LÄN</t>
        </is>
      </c>
      <c r="G113" t="inlineStr">
        <is>
          <t>SÖDERKÖPING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46281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46281</v>
      </c>
      <c r="F115" t="inlineStr">
        <is>
          <t>ÖSTERGÖTLANDS LÄN</t>
        </is>
      </c>
      <c r="G115" t="inlineStr">
        <is>
          <t>SÖDERKÖPING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55853-2022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46281</v>
      </c>
      <c r="F116" t="inlineStr">
        <is>
          <t>ÖSTERGÖTLANDS LÄN</t>
        </is>
      </c>
      <c r="G116" t="inlineStr">
        <is>
          <t>SÖDERKÖPING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46281</v>
      </c>
      <c r="F117" t="inlineStr">
        <is>
          <t>ÖSTERGÖTLANDS LÄN</t>
        </is>
      </c>
      <c r="G117" t="inlineStr">
        <is>
          <t>SÖDERKÖPING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46281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46281</v>
      </c>
      <c r="F119" t="inlineStr">
        <is>
          <t>ÖSTERGÖTLANDS LÄN</t>
        </is>
      </c>
      <c r="G119" t="inlineStr">
        <is>
          <t>SÖDERKÖPING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46281</v>
      </c>
      <c r="F120" t="inlineStr">
        <is>
          <t>ÖSTERGÖTLANDS LÄN</t>
        </is>
      </c>
      <c r="G120" t="inlineStr">
        <is>
          <t>SÖDERKÖPING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45774-2025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46281</v>
      </c>
      <c r="F121" t="inlineStr">
        <is>
          <t>ÖSTERGÖTLANDS LÄN</t>
        </is>
      </c>
      <c r="G121" t="inlineStr">
        <is>
          <t>SÖDERKÖPING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46281</v>
      </c>
      <c r="F122" t="inlineStr">
        <is>
          <t>ÖSTERGÖTLANDS LÄN</t>
        </is>
      </c>
      <c r="G122" t="inlineStr">
        <is>
          <t>SÖDERKÖPING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46281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46281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46281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46281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46281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46281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46281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44965</v>
      </c>
      <c r="E130" s="1" t="n">
        <v>46281</v>
      </c>
      <c r="F130" t="inlineStr">
        <is>
          <t>ÖSTERGÖTLANDS LÄN</t>
        </is>
      </c>
      <c r="G130" t="inlineStr">
        <is>
          <t>SÖDERKÖPING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46281</v>
      </c>
      <c r="F131" t="inlineStr">
        <is>
          <t>ÖSTERGÖTLANDS LÄN</t>
        </is>
      </c>
      <c r="G131" t="inlineStr">
        <is>
          <t>SÖDERKÖPING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46281</v>
      </c>
      <c r="F132" t="inlineStr">
        <is>
          <t>ÖSTERGÖTLANDS LÄN</t>
        </is>
      </c>
      <c r="G132" t="inlineStr">
        <is>
          <t>SÖDERKÖPING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46281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46281</v>
      </c>
      <c r="F134" t="inlineStr">
        <is>
          <t>ÖSTERGÖTLANDS LÄN</t>
        </is>
      </c>
      <c r="G134" t="inlineStr">
        <is>
          <t>SÖDERKÖPING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46281</v>
      </c>
      <c r="F135" t="inlineStr">
        <is>
          <t>ÖSTERGÖTLANDS LÄN</t>
        </is>
      </c>
      <c r="G135" t="inlineStr">
        <is>
          <t>SÖDERKÖPING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46281</v>
      </c>
      <c r="F136" t="inlineStr">
        <is>
          <t>ÖSTERGÖTLANDS LÄN</t>
        </is>
      </c>
      <c r="G136" t="inlineStr">
        <is>
          <t>SÖDERKÖPING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46281</v>
      </c>
      <c r="F137" t="inlineStr">
        <is>
          <t>ÖSTERGÖTLANDS LÄN</t>
        </is>
      </c>
      <c r="G137" t="inlineStr">
        <is>
          <t>SÖDERKÖPING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46281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46281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46281</v>
      </c>
      <c r="F140" t="inlineStr">
        <is>
          <t>ÖSTERGÖTLANDS LÄN</t>
        </is>
      </c>
      <c r="G140" t="inlineStr">
        <is>
          <t>SÖDERKÖPING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46281</v>
      </c>
      <c r="F141" t="inlineStr">
        <is>
          <t>ÖSTERGÖTLANDS LÄN</t>
        </is>
      </c>
      <c r="G141" t="inlineStr">
        <is>
          <t>SÖDERKÖPING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64825-2023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46281</v>
      </c>
      <c r="F142" t="inlineStr">
        <is>
          <t>ÖSTERGÖTLANDS LÄN</t>
        </is>
      </c>
      <c r="G142" t="inlineStr">
        <is>
          <t>SÖDERKÖPING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46281</v>
      </c>
      <c r="F143" t="inlineStr">
        <is>
          <t>ÖSTERGÖTLANDS LÄN</t>
        </is>
      </c>
      <c r="G143" t="inlineStr">
        <is>
          <t>SÖDERKÖPING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44572</v>
      </c>
      <c r="E144" s="1" t="n">
        <v>46281</v>
      </c>
      <c r="F144" t="inlineStr">
        <is>
          <t>ÖSTERGÖTLANDS LÄN</t>
        </is>
      </c>
      <c r="G144" t="inlineStr">
        <is>
          <t>SÖDERKÖPING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44736</v>
      </c>
      <c r="E145" s="1" t="n">
        <v>46281</v>
      </c>
      <c r="F145" t="inlineStr">
        <is>
          <t>ÖSTERGÖTLANDS LÄN</t>
        </is>
      </c>
      <c r="G145" t="inlineStr">
        <is>
          <t>SÖDERKÖPING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46281</v>
      </c>
      <c r="F146" t="inlineStr">
        <is>
          <t>ÖSTERGÖTLANDS LÄN</t>
        </is>
      </c>
      <c r="G146" t="inlineStr">
        <is>
          <t>SÖDERKÖPING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46281</v>
      </c>
      <c r="F147" t="inlineStr">
        <is>
          <t>ÖSTERGÖTLANDS LÄN</t>
        </is>
      </c>
      <c r="G147" t="inlineStr">
        <is>
          <t>SÖDERKÖPING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45293</v>
      </c>
      <c r="E148" s="1" t="n">
        <v>46281</v>
      </c>
      <c r="F148" t="inlineStr">
        <is>
          <t>ÖSTERGÖTLANDS LÄN</t>
        </is>
      </c>
      <c r="G148" t="inlineStr">
        <is>
          <t>SÖDERKÖPING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46281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Holmen skog AB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46281</v>
      </c>
      <c r="F150" t="inlineStr">
        <is>
          <t>ÖSTERGÖTLANDS LÄN</t>
        </is>
      </c>
      <c r="G150" t="inlineStr">
        <is>
          <t>SÖDERKÖPING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46281</v>
      </c>
      <c r="F151" t="inlineStr">
        <is>
          <t>ÖSTERGÖTLANDS LÄN</t>
        </is>
      </c>
      <c r="G151" t="inlineStr">
        <is>
          <t>SÖDERKÖPING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46281</v>
      </c>
      <c r="F152" t="inlineStr">
        <is>
          <t>ÖSTERGÖTLANDS LÄN</t>
        </is>
      </c>
      <c r="G152" t="inlineStr">
        <is>
          <t>SÖDERKÖPING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46281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46281</v>
      </c>
      <c r="F154" t="inlineStr">
        <is>
          <t>ÖSTERGÖTLANDS LÄN</t>
        </is>
      </c>
      <c r="G154" t="inlineStr">
        <is>
          <t>SÖDERKÖPING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46281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46281</v>
      </c>
      <c r="F156" t="inlineStr">
        <is>
          <t>ÖSTERGÖTLANDS LÄN</t>
        </is>
      </c>
      <c r="G156" t="inlineStr">
        <is>
          <t>SÖDERKÖPING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46281</v>
      </c>
      <c r="F157" t="inlineStr">
        <is>
          <t>ÖSTERGÖTLANDS LÄN</t>
        </is>
      </c>
      <c r="G157" t="inlineStr">
        <is>
          <t>SÖDERKÖPING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46281</v>
      </c>
      <c r="F158" t="inlineStr">
        <is>
          <t>ÖSTERGÖTLANDS LÄN</t>
        </is>
      </c>
      <c r="G158" t="inlineStr">
        <is>
          <t>SÖDERKÖPING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46281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46281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66362-2021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44518</v>
      </c>
      <c r="E161" s="1" t="n">
        <v>46281</v>
      </c>
      <c r="F161" t="inlineStr">
        <is>
          <t>ÖSTERGÖTLANDS LÄN</t>
        </is>
      </c>
      <c r="G161" t="inlineStr">
        <is>
          <t>SÖDERKÖPING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44956</v>
      </c>
      <c r="E162" s="1" t="n">
        <v>46281</v>
      </c>
      <c r="F162" t="inlineStr">
        <is>
          <t>ÖSTERGÖTLANDS LÄN</t>
        </is>
      </c>
      <c r="G162" t="inlineStr">
        <is>
          <t>SÖDERKÖPING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44890</v>
      </c>
      <c r="E163" s="1" t="n">
        <v>46281</v>
      </c>
      <c r="F163" t="inlineStr">
        <is>
          <t>ÖSTERGÖTLANDS LÄN</t>
        </is>
      </c>
      <c r="G163" t="inlineStr">
        <is>
          <t>SÖDERKÖPING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45663</v>
      </c>
      <c r="E164" s="1" t="n">
        <v>46281</v>
      </c>
      <c r="F164" t="inlineStr">
        <is>
          <t>ÖSTERGÖTLANDS LÄN</t>
        </is>
      </c>
      <c r="G164" t="inlineStr">
        <is>
          <t>SÖDERKÖPING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46281</v>
      </c>
      <c r="F165" t="inlineStr">
        <is>
          <t>ÖSTERGÖTLANDS LÄN</t>
        </is>
      </c>
      <c r="G165" t="inlineStr">
        <is>
          <t>SÖDERKÖPING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46281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46281</v>
      </c>
      <c r="F167" t="inlineStr">
        <is>
          <t>ÖSTERGÖTLANDS LÄN</t>
        </is>
      </c>
      <c r="G167" t="inlineStr">
        <is>
          <t>SÖDERKÖPING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46281</v>
      </c>
      <c r="F168" t="inlineStr">
        <is>
          <t>ÖSTERGÖTLANDS LÄN</t>
        </is>
      </c>
      <c r="G168" t="inlineStr">
        <is>
          <t>SÖDERKÖPING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46281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46281</v>
      </c>
      <c r="F170" t="inlineStr">
        <is>
          <t>ÖSTERGÖTLANDS LÄN</t>
        </is>
      </c>
      <c r="G170" t="inlineStr">
        <is>
          <t>SÖDERKÖPING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46281</v>
      </c>
      <c r="F171" t="inlineStr">
        <is>
          <t>ÖSTERGÖTLANDS LÄN</t>
        </is>
      </c>
      <c r="G171" t="inlineStr">
        <is>
          <t>SÖDERKÖPING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44798</v>
      </c>
      <c r="E172" s="1" t="n">
        <v>46281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45849</v>
      </c>
      <c r="E173" s="1" t="n">
        <v>46281</v>
      </c>
      <c r="F173" t="inlineStr">
        <is>
          <t>ÖSTERGÖTLANDS LÄN</t>
        </is>
      </c>
      <c r="G173" t="inlineStr">
        <is>
          <t>SÖDERKÖPING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46281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Allmännings- och besparingsskogar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44495</v>
      </c>
      <c r="E175" s="1" t="n">
        <v>46281</v>
      </c>
      <c r="F175" t="inlineStr">
        <is>
          <t>ÖSTERGÖTLANDS LÄN</t>
        </is>
      </c>
      <c r="G175" t="inlineStr">
        <is>
          <t>SÖDERKÖPING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46281</v>
      </c>
      <c r="F176" t="inlineStr">
        <is>
          <t>ÖSTERGÖTLANDS LÄN</t>
        </is>
      </c>
      <c r="G176" t="inlineStr">
        <is>
          <t>SÖDERKÖPING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46281</v>
      </c>
      <c r="F177" t="inlineStr">
        <is>
          <t>ÖSTERGÖTLANDS LÄN</t>
        </is>
      </c>
      <c r="G177" t="inlineStr">
        <is>
          <t>SÖDERKÖPING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46150</v>
      </c>
      <c r="E178" s="1" t="n">
        <v>46281</v>
      </c>
      <c r="F178" t="inlineStr">
        <is>
          <t>ÖSTERGÖTLANDS LÄN</t>
        </is>
      </c>
      <c r="G178" t="inlineStr">
        <is>
          <t>SÖDERKÖPING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46281</v>
      </c>
      <c r="F179" t="inlineStr">
        <is>
          <t>ÖSTERGÖTLANDS LÄN</t>
        </is>
      </c>
      <c r="G179" t="inlineStr">
        <is>
          <t>SÖDERKÖPING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46281</v>
      </c>
      <c r="F180" t="inlineStr">
        <is>
          <t>ÖSTERGÖTLANDS LÄN</t>
        </is>
      </c>
      <c r="G180" t="inlineStr">
        <is>
          <t>SÖDERKÖPING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46281</v>
      </c>
      <c r="F181" t="inlineStr">
        <is>
          <t>ÖSTERGÖTLANDS LÄN</t>
        </is>
      </c>
      <c r="G181" t="inlineStr">
        <is>
          <t>SÖDERKÖPING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46281</v>
      </c>
      <c r="F182" t="inlineStr">
        <is>
          <t>ÖSTERGÖTLANDS LÄN</t>
        </is>
      </c>
      <c r="G182" t="inlineStr">
        <is>
          <t>SÖDERKÖPING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46281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46281</v>
      </c>
      <c r="F184" t="inlineStr">
        <is>
          <t>ÖSTERGÖTLANDS LÄN</t>
        </is>
      </c>
      <c r="G184" t="inlineStr">
        <is>
          <t>SÖDERKÖPING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46003</v>
      </c>
      <c r="E185" s="1" t="n">
        <v>46281</v>
      </c>
      <c r="F185" t="inlineStr">
        <is>
          <t>ÖSTERGÖTLANDS LÄN</t>
        </is>
      </c>
      <c r="G185" t="inlineStr">
        <is>
          <t>SÖDERKÖPING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44861</v>
      </c>
      <c r="E186" s="1" t="n">
        <v>46281</v>
      </c>
      <c r="F186" t="inlineStr">
        <is>
          <t>ÖSTERGÖTLANDS LÄN</t>
        </is>
      </c>
      <c r="G186" t="inlineStr">
        <is>
          <t>SÖDERKÖPING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45751</v>
      </c>
      <c r="E187" s="1" t="n">
        <v>46281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46281</v>
      </c>
      <c r="F188" t="inlineStr">
        <is>
          <t>ÖSTERGÖTLANDS LÄN</t>
        </is>
      </c>
      <c r="G188" t="inlineStr">
        <is>
          <t>SÖDERKÖPING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46281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46281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Allmännings- och besparingsskogar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46281</v>
      </c>
      <c r="F191" t="inlineStr">
        <is>
          <t>ÖSTERGÖTLANDS LÄN</t>
        </is>
      </c>
      <c r="G191" t="inlineStr">
        <is>
          <t>SÖDERKÖPING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46281</v>
      </c>
      <c r="F192" t="inlineStr">
        <is>
          <t>ÖSTERGÖTLANDS LÄN</t>
        </is>
      </c>
      <c r="G192" t="inlineStr">
        <is>
          <t>SÖDERKÖPING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46281</v>
      </c>
      <c r="F193" t="inlineStr">
        <is>
          <t>ÖSTERGÖTLANDS LÄN</t>
        </is>
      </c>
      <c r="G193" t="inlineStr">
        <is>
          <t>SÖDERKÖPING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46281</v>
      </c>
      <c r="F194" t="inlineStr">
        <is>
          <t>ÖSTERGÖTLANDS LÄN</t>
        </is>
      </c>
      <c r="G194" t="inlineStr">
        <is>
          <t>SÖDERKÖPING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20221-2023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45055</v>
      </c>
      <c r="E195" s="1" t="n">
        <v>46281</v>
      </c>
      <c r="F195" t="inlineStr">
        <is>
          <t>ÖSTERGÖTLANDS LÄN</t>
        </is>
      </c>
      <c r="G195" t="inlineStr">
        <is>
          <t>SÖDERKÖPING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46281</v>
      </c>
      <c r="F196" t="inlineStr">
        <is>
          <t>ÖSTERGÖTLANDS LÄN</t>
        </is>
      </c>
      <c r="G196" t="inlineStr">
        <is>
          <t>SÖDERKÖPING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46281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46281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Allmännings- och besparingsskogar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46281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46281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45426</v>
      </c>
      <c r="E201" s="1" t="n">
        <v>46281</v>
      </c>
      <c r="F201" t="inlineStr">
        <is>
          <t>ÖSTERGÖTLANDS LÄN</t>
        </is>
      </c>
      <c r="G201" t="inlineStr">
        <is>
          <t>SÖDERKÖPING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46281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46281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46281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46281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Kyrkan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45754</v>
      </c>
      <c r="E206" s="1" t="n">
        <v>46281</v>
      </c>
      <c r="F206" t="inlineStr">
        <is>
          <t>ÖSTERGÖTLANDS LÄN</t>
        </is>
      </c>
      <c r="G206" t="inlineStr">
        <is>
          <t>SÖDERKÖPING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46281</v>
      </c>
      <c r="F207" t="inlineStr">
        <is>
          <t>ÖSTERGÖTLANDS LÄN</t>
        </is>
      </c>
      <c r="G207" t="inlineStr">
        <is>
          <t>SÖDERKÖPING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46281</v>
      </c>
      <c r="F208" t="inlineStr">
        <is>
          <t>ÖSTERGÖTLANDS LÄN</t>
        </is>
      </c>
      <c r="G208" t="inlineStr">
        <is>
          <t>SÖDERKÖPING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46281</v>
      </c>
      <c r="F209" t="inlineStr">
        <is>
          <t>ÖSTERGÖTLANDS LÄN</t>
        </is>
      </c>
      <c r="G209" t="inlineStr">
        <is>
          <t>SÖDERKÖPING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46281</v>
      </c>
      <c r="F210" t="inlineStr">
        <is>
          <t>ÖSTERGÖTLANDS LÄN</t>
        </is>
      </c>
      <c r="G210" t="inlineStr">
        <is>
          <t>SÖDERKÖPING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46281</v>
      </c>
      <c r="F211" t="inlineStr">
        <is>
          <t>ÖSTERGÖTLANDS LÄN</t>
        </is>
      </c>
      <c r="G211" t="inlineStr">
        <is>
          <t>SÖDERKÖPING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46281</v>
      </c>
      <c r="F212" t="inlineStr">
        <is>
          <t>ÖSTERGÖTLANDS LÄN</t>
        </is>
      </c>
      <c r="G212" t="inlineStr">
        <is>
          <t>SÖDERKÖPING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46281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66075-2021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46281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Kyrkan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46281</v>
      </c>
      <c r="F215" t="inlineStr">
        <is>
          <t>ÖSTERGÖTLANDS LÄN</t>
        </is>
      </c>
      <c r="G215" t="inlineStr">
        <is>
          <t>SÖDERKÖPING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46281</v>
      </c>
      <c r="F216" t="inlineStr">
        <is>
          <t>ÖSTERGÖTLANDS LÄN</t>
        </is>
      </c>
      <c r="G216" t="inlineStr">
        <is>
          <t>SÖDERKÖPING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46281</v>
      </c>
      <c r="F217" t="inlineStr">
        <is>
          <t>ÖSTERGÖTLANDS LÄN</t>
        </is>
      </c>
      <c r="G217" t="inlineStr">
        <is>
          <t>SÖDERKÖPING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46281</v>
      </c>
      <c r="F218" t="inlineStr">
        <is>
          <t>ÖSTERGÖTLANDS LÄN</t>
        </is>
      </c>
      <c r="G218" t="inlineStr">
        <is>
          <t>SÖDERKÖPING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46281</v>
      </c>
      <c r="F219" t="inlineStr">
        <is>
          <t>ÖSTERGÖTLANDS LÄN</t>
        </is>
      </c>
      <c r="G219" t="inlineStr">
        <is>
          <t>SÖDERKÖPING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46061</v>
      </c>
      <c r="E220" s="1" t="n">
        <v>46281</v>
      </c>
      <c r="F220" t="inlineStr">
        <is>
          <t>ÖSTERGÖTLANDS LÄN</t>
        </is>
      </c>
      <c r="G220" t="inlineStr">
        <is>
          <t>SÖDERKÖPING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46281</v>
      </c>
      <c r="F221" t="inlineStr">
        <is>
          <t>ÖSTERGÖTLANDS LÄN</t>
        </is>
      </c>
      <c r="G221" t="inlineStr">
        <is>
          <t>SÖDERKÖPING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46281</v>
      </c>
      <c r="F222" t="inlineStr">
        <is>
          <t>ÖSTERGÖTLANDS LÄN</t>
        </is>
      </c>
      <c r="G222" t="inlineStr">
        <is>
          <t>SÖDERKÖPING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46281</v>
      </c>
      <c r="F223" t="inlineStr">
        <is>
          <t>ÖSTERGÖTLANDS LÄN</t>
        </is>
      </c>
      <c r="G223" t="inlineStr">
        <is>
          <t>SÖDERKÖPING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46281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46281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46281</v>
      </c>
      <c r="F226" t="inlineStr">
        <is>
          <t>ÖSTERGÖTLANDS LÄN</t>
        </is>
      </c>
      <c r="G226" t="inlineStr">
        <is>
          <t>SÖDERKÖPING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46281</v>
      </c>
      <c r="F227" t="inlineStr">
        <is>
          <t>ÖSTERGÖTLANDS LÄN</t>
        </is>
      </c>
      <c r="G227" t="inlineStr">
        <is>
          <t>SÖDERKÖPING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46281</v>
      </c>
      <c r="F228" t="inlineStr">
        <is>
          <t>ÖSTERGÖTLANDS LÄN</t>
        </is>
      </c>
      <c r="G228" t="inlineStr">
        <is>
          <t>SÖDERKÖPING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26439-2026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46183</v>
      </c>
      <c r="E229" s="1" t="n">
        <v>46281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46281</v>
      </c>
      <c r="F230" t="inlineStr">
        <is>
          <t>ÖSTERGÖTLANDS LÄN</t>
        </is>
      </c>
      <c r="G230" t="inlineStr">
        <is>
          <t>SÖDERKÖPING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46281</v>
      </c>
      <c r="F231" t="inlineStr">
        <is>
          <t>ÖSTERGÖTLANDS LÄN</t>
        </is>
      </c>
      <c r="G231" t="inlineStr">
        <is>
          <t>SÖDERKÖPING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46281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Kommuner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46281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46281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53889-2021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44469</v>
      </c>
      <c r="E235" s="1" t="n">
        <v>46281</v>
      </c>
      <c r="F235" t="inlineStr">
        <is>
          <t>ÖSTERGÖTLANDS LÄN</t>
        </is>
      </c>
      <c r="G235" t="inlineStr">
        <is>
          <t>SÖDERKÖPING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25790-2023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45090</v>
      </c>
      <c r="E236" s="1" t="n">
        <v>46281</v>
      </c>
      <c r="F236" t="inlineStr">
        <is>
          <t>ÖSTERGÖTLANDS LÄN</t>
        </is>
      </c>
      <c r="G236" t="inlineStr">
        <is>
          <t>SÖDERKÖPING</t>
        </is>
      </c>
      <c r="I236" t="n">
        <v>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46281</v>
      </c>
      <c r="F237" t="inlineStr">
        <is>
          <t>ÖSTERGÖTLANDS LÄN</t>
        </is>
      </c>
      <c r="G237" t="inlineStr">
        <is>
          <t>SÖDERKÖPING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46281</v>
      </c>
      <c r="F238" t="inlineStr">
        <is>
          <t>ÖSTERGÖTLANDS LÄN</t>
        </is>
      </c>
      <c r="G238" t="inlineStr">
        <is>
          <t>SÖDERKÖPING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28383-2026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46196</v>
      </c>
      <c r="E239" s="1" t="n">
        <v>46281</v>
      </c>
      <c r="F239" t="inlineStr">
        <is>
          <t>ÖSTERGÖTLANDS LÄN</t>
        </is>
      </c>
      <c r="G239" t="inlineStr">
        <is>
          <t>SÖDERKÖPING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46281</v>
      </c>
      <c r="F240" t="inlineStr">
        <is>
          <t>ÖSTERGÖTLANDS LÄN</t>
        </is>
      </c>
      <c r="G240" t="inlineStr">
        <is>
          <t>SÖDERKÖPING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46281</v>
      </c>
      <c r="F241" t="inlineStr">
        <is>
          <t>ÖSTERGÖTLANDS LÄN</t>
        </is>
      </c>
      <c r="G241" t="inlineStr">
        <is>
          <t>SÖDERKÖPING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46281</v>
      </c>
      <c r="F242" t="inlineStr">
        <is>
          <t>ÖSTERGÖTLANDS LÄN</t>
        </is>
      </c>
      <c r="G242" t="inlineStr">
        <is>
          <t>SÖDERKÖPING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45119</v>
      </c>
      <c r="E243" s="1" t="n">
        <v>46281</v>
      </c>
      <c r="F243" t="inlineStr">
        <is>
          <t>ÖSTERGÖTLANDS LÄN</t>
        </is>
      </c>
      <c r="G243" t="inlineStr">
        <is>
          <t>SÖDERKÖPING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46281</v>
      </c>
      <c r="F244" t="inlineStr">
        <is>
          <t>ÖSTERGÖTLANDS LÄN</t>
        </is>
      </c>
      <c r="G244" t="inlineStr">
        <is>
          <t>SÖDERKÖPING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46281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45504</v>
      </c>
      <c r="E246" s="1" t="n">
        <v>46281</v>
      </c>
      <c r="F246" t="inlineStr">
        <is>
          <t>ÖSTERGÖTLANDS LÄN</t>
        </is>
      </c>
      <c r="G246" t="inlineStr">
        <is>
          <t>SÖDERKÖPING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46281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44937</v>
      </c>
      <c r="E248" s="1" t="n">
        <v>46281</v>
      </c>
      <c r="F248" t="inlineStr">
        <is>
          <t>ÖSTERGÖTLANDS LÄN</t>
        </is>
      </c>
      <c r="G248" t="inlineStr">
        <is>
          <t>SÖDERKÖPING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46241</v>
      </c>
      <c r="E249" s="1" t="n">
        <v>46281</v>
      </c>
      <c r="F249" t="inlineStr">
        <is>
          <t>ÖSTERGÖTLANDS LÄN</t>
        </is>
      </c>
      <c r="G249" t="inlineStr">
        <is>
          <t>SÖDERKÖPING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61802-2022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46281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46241</v>
      </c>
      <c r="E251" s="1" t="n">
        <v>46281</v>
      </c>
      <c r="F251" t="inlineStr">
        <is>
          <t>ÖSTERGÖTLANDS LÄN</t>
        </is>
      </c>
      <c r="G251" t="inlineStr">
        <is>
          <t>SÖDERKÖPING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46281</v>
      </c>
      <c r="F252" t="inlineStr">
        <is>
          <t>ÖSTERGÖTLANDS LÄN</t>
        </is>
      </c>
      <c r="G252" t="inlineStr">
        <is>
          <t>SÖDERKÖPING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45399</v>
      </c>
      <c r="E253" s="1" t="n">
        <v>46281</v>
      </c>
      <c r="F253" t="inlineStr">
        <is>
          <t>ÖSTERGÖTLANDS LÄN</t>
        </is>
      </c>
      <c r="G253" t="inlineStr">
        <is>
          <t>SÖDERKÖPING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46281</v>
      </c>
      <c r="F254" t="inlineStr">
        <is>
          <t>ÖSTERGÖTLANDS LÄN</t>
        </is>
      </c>
      <c r="G254" t="inlineStr">
        <is>
          <t>SÖDERKÖPING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46281</v>
      </c>
      <c r="F255" t="inlineStr">
        <is>
          <t>ÖSTERGÖTLANDS LÄN</t>
        </is>
      </c>
      <c r="G255" t="inlineStr">
        <is>
          <t>SÖDERKÖPING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46281</v>
      </c>
      <c r="F256" t="inlineStr">
        <is>
          <t>ÖSTERGÖTLANDS LÄN</t>
        </is>
      </c>
      <c r="G256" t="inlineStr">
        <is>
          <t>SÖDERKÖPING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46248</v>
      </c>
      <c r="E257" s="1" t="n">
        <v>46281</v>
      </c>
      <c r="F257" t="inlineStr">
        <is>
          <t>ÖSTERGÖTLANDS LÄN</t>
        </is>
      </c>
      <c r="G257" t="inlineStr">
        <is>
          <t>SÖDERKÖPING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46281</v>
      </c>
      <c r="F258" t="inlineStr">
        <is>
          <t>ÖSTERGÖTLANDS LÄN</t>
        </is>
      </c>
      <c r="G258" t="inlineStr">
        <is>
          <t>SÖDERKÖPING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46281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46281</v>
      </c>
      <c r="F260" t="inlineStr">
        <is>
          <t>ÖSTERGÖTLANDS LÄN</t>
        </is>
      </c>
      <c r="G260" t="inlineStr">
        <is>
          <t>SÖDERKÖPING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44813</v>
      </c>
      <c r="E261" s="1" t="n">
        <v>46281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46281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46206</v>
      </c>
      <c r="E263" s="1" t="n">
        <v>46281</v>
      </c>
      <c r="F263" t="inlineStr">
        <is>
          <t>ÖSTERGÖTLANDS LÄN</t>
        </is>
      </c>
      <c r="G263" t="inlineStr">
        <is>
          <t>SÖDERKÖPING</t>
        </is>
      </c>
      <c r="I263" t="n">
        <v>18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45044-2023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46281</v>
      </c>
      <c r="F264" t="inlineStr">
        <is>
          <t>ÖSTERGÖTLANDS LÄN</t>
        </is>
      </c>
      <c r="G264" t="inlineStr">
        <is>
          <t>SÖDERKÖPING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46281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46281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Holmen skog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45737</v>
      </c>
      <c r="E267" s="1" t="n">
        <v>46281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Holmen skog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46281</v>
      </c>
      <c r="F268" t="inlineStr">
        <is>
          <t>ÖSTERGÖTLANDS LÄN</t>
        </is>
      </c>
      <c r="G268" t="inlineStr">
        <is>
          <t>SÖDERKÖPING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46281</v>
      </c>
      <c r="F269" t="inlineStr">
        <is>
          <t>ÖSTERGÖTLANDS LÄN</t>
        </is>
      </c>
      <c r="G269" t="inlineStr">
        <is>
          <t>SÖDERKÖPING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46281</v>
      </c>
      <c r="F270" t="inlineStr">
        <is>
          <t>ÖSTERGÖTLANDS LÄN</t>
        </is>
      </c>
      <c r="G270" t="inlineStr">
        <is>
          <t>SÖDERKÖPING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46281</v>
      </c>
      <c r="F271" t="inlineStr">
        <is>
          <t>ÖSTERGÖTLANDS LÄN</t>
        </is>
      </c>
      <c r="G271" t="inlineStr">
        <is>
          <t>SÖDERKÖPING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46281</v>
      </c>
      <c r="F272" t="inlineStr">
        <is>
          <t>ÖSTERGÖTLANDS LÄN</t>
        </is>
      </c>
      <c r="G272" t="inlineStr">
        <is>
          <t>SÖDERKÖPING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45295</v>
      </c>
      <c r="E273" s="1" t="n">
        <v>46281</v>
      </c>
      <c r="F273" t="inlineStr">
        <is>
          <t>ÖSTERGÖTLANDS LÄN</t>
        </is>
      </c>
      <c r="G273" t="inlineStr">
        <is>
          <t>SÖDERKÖPING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45028</v>
      </c>
      <c r="E274" s="1" t="n">
        <v>46281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46281</v>
      </c>
      <c r="F275" t="inlineStr">
        <is>
          <t>ÖSTERGÖTLANDS LÄN</t>
        </is>
      </c>
      <c r="G275" t="inlineStr">
        <is>
          <t>SÖDERKÖPING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46281</v>
      </c>
      <c r="F276" t="inlineStr">
        <is>
          <t>ÖSTERGÖTLANDS LÄN</t>
        </is>
      </c>
      <c r="G276" t="inlineStr">
        <is>
          <t>SÖDERKÖPING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45055</v>
      </c>
      <c r="E277" s="1" t="n">
        <v>46281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46281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46281</v>
      </c>
      <c r="F279" t="inlineStr">
        <is>
          <t>ÖSTERGÖTLANDS LÄN</t>
        </is>
      </c>
      <c r="G279" t="inlineStr">
        <is>
          <t>SÖDERKÖPING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46281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46281</v>
      </c>
      <c r="F281" t="inlineStr">
        <is>
          <t>ÖSTERGÖTLANDS LÄN</t>
        </is>
      </c>
      <c r="G281" t="inlineStr">
        <is>
          <t>SÖDERKÖPING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46281</v>
      </c>
      <c r="F282" t="inlineStr">
        <is>
          <t>ÖSTERGÖTLANDS LÄN</t>
        </is>
      </c>
      <c r="G282" t="inlineStr">
        <is>
          <t>SÖDERKÖPING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45055</v>
      </c>
      <c r="E283" s="1" t="n">
        <v>46281</v>
      </c>
      <c r="F283" t="inlineStr">
        <is>
          <t>ÖSTERGÖTLANDS LÄN</t>
        </is>
      </c>
      <c r="G283" t="inlineStr">
        <is>
          <t>SÖDERKÖPING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46281</v>
      </c>
      <c r="F284" t="inlineStr">
        <is>
          <t>ÖSTERGÖTLANDS LÄN</t>
        </is>
      </c>
      <c r="G284" t="inlineStr">
        <is>
          <t>SÖDERKÖPING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46281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45684</v>
      </c>
      <c r="E286" s="1" t="n">
        <v>46281</v>
      </c>
      <c r="F286" t="inlineStr">
        <is>
          <t>ÖSTERGÖTLANDS LÄN</t>
        </is>
      </c>
      <c r="G286" t="inlineStr">
        <is>
          <t>SÖDERKÖPING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46281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Kyrkan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46281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46281</v>
      </c>
      <c r="F289" t="inlineStr">
        <is>
          <t>ÖSTERGÖTLANDS LÄN</t>
        </is>
      </c>
      <c r="G289" t="inlineStr">
        <is>
          <t>SÖDERKÖPING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44796</v>
      </c>
      <c r="E290" s="1" t="n">
        <v>46281</v>
      </c>
      <c r="F290" t="inlineStr">
        <is>
          <t>ÖSTERGÖTLANDS LÄN</t>
        </is>
      </c>
      <c r="G290" t="inlineStr">
        <is>
          <t>SÖDERKÖPING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46281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44593</v>
      </c>
      <c r="E292" s="1" t="n">
        <v>46281</v>
      </c>
      <c r="F292" t="inlineStr">
        <is>
          <t>ÖSTERGÖTLANDS LÄN</t>
        </is>
      </c>
      <c r="G292" t="inlineStr">
        <is>
          <t>SÖDERKÖPING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46281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44618</v>
      </c>
      <c r="E294" s="1" t="n">
        <v>46281</v>
      </c>
      <c r="F294" t="inlineStr">
        <is>
          <t>ÖSTERGÖTLANDS LÄN</t>
        </is>
      </c>
      <c r="G294" t="inlineStr">
        <is>
          <t>SÖDERKÖPING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46281</v>
      </c>
      <c r="F295" t="inlineStr">
        <is>
          <t>ÖSTERGÖTLANDS LÄN</t>
        </is>
      </c>
      <c r="G295" t="inlineStr">
        <is>
          <t>SÖDERKÖPING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46281</v>
      </c>
      <c r="F296" t="inlineStr">
        <is>
          <t>ÖSTERGÖTLANDS LÄN</t>
        </is>
      </c>
      <c r="G296" t="inlineStr">
        <is>
          <t>SÖDERKÖPING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46219</v>
      </c>
      <c r="E297" s="1" t="n">
        <v>46281</v>
      </c>
      <c r="F297" t="inlineStr">
        <is>
          <t>ÖSTERGÖTLANDS LÄN</t>
        </is>
      </c>
      <c r="G297" t="inlineStr">
        <is>
          <t>SÖDERKÖPING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46281</v>
      </c>
      <c r="F298" t="inlineStr">
        <is>
          <t>ÖSTERGÖTLANDS LÄN</t>
        </is>
      </c>
      <c r="G298" t="inlineStr">
        <is>
          <t>SÖDERKÖPING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46219</v>
      </c>
      <c r="E299" s="1" t="n">
        <v>46281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46417-2023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45197</v>
      </c>
      <c r="E300" s="1" t="n">
        <v>46281</v>
      </c>
      <c r="F300" t="inlineStr">
        <is>
          <t>ÖSTERGÖTLANDS LÄN</t>
        </is>
      </c>
      <c r="G300" t="inlineStr">
        <is>
          <t>SÖDERKÖPING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46281</v>
      </c>
      <c r="F301" t="inlineStr">
        <is>
          <t>ÖSTERGÖTLANDS LÄN</t>
        </is>
      </c>
      <c r="G301" t="inlineStr">
        <is>
          <t>SÖDERKÖPING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46281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46281</v>
      </c>
      <c r="F303" t="inlineStr">
        <is>
          <t>ÖSTERGÖTLANDS LÄN</t>
        </is>
      </c>
      <c r="G303" t="inlineStr">
        <is>
          <t>SÖDERKÖPING</t>
        </is>
      </c>
      <c r="I303" t="n">
        <v>15.3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45595</v>
      </c>
      <c r="E304" s="1" t="n">
        <v>46281</v>
      </c>
      <c r="F304" t="inlineStr">
        <is>
          <t>ÖSTERGÖTLANDS LÄN</t>
        </is>
      </c>
      <c r="G304" t="inlineStr">
        <is>
          <t>SÖDERKÖPING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63392-2021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46281</v>
      </c>
      <c r="F305" t="inlineStr">
        <is>
          <t>ÖSTERGÖTLANDS LÄN</t>
        </is>
      </c>
      <c r="G305" t="inlineStr">
        <is>
          <t>SÖDERKÖPING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46281</v>
      </c>
      <c r="F306" t="inlineStr">
        <is>
          <t>ÖSTERGÖTLANDS LÄN</t>
        </is>
      </c>
      <c r="G306" t="inlineStr">
        <is>
          <t>SÖDERKÖPING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46281</v>
      </c>
      <c r="F307" t="inlineStr">
        <is>
          <t>ÖSTERGÖTLANDS LÄN</t>
        </is>
      </c>
      <c r="G307" t="inlineStr">
        <is>
          <t>SÖDERKÖPING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46227</v>
      </c>
      <c r="E308" s="1" t="n">
        <v>46281</v>
      </c>
      <c r="F308" t="inlineStr">
        <is>
          <t>ÖSTERGÖTLANDS LÄN</t>
        </is>
      </c>
      <c r="G308" t="inlineStr">
        <is>
          <t>SÖDERKÖPING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44174-2023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46281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46281</v>
      </c>
      <c r="F310" t="inlineStr">
        <is>
          <t>ÖSTERGÖTLANDS LÄN</t>
        </is>
      </c>
      <c r="G310" t="inlineStr">
        <is>
          <t>SÖDERKÖPING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46227</v>
      </c>
      <c r="E311" s="1" t="n">
        <v>46281</v>
      </c>
      <c r="F311" t="inlineStr">
        <is>
          <t>ÖSTERGÖTLANDS LÄN</t>
        </is>
      </c>
      <c r="G311" t="inlineStr">
        <is>
          <t>SÖDERKÖPING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46227</v>
      </c>
      <c r="E312" s="1" t="n">
        <v>46281</v>
      </c>
      <c r="F312" t="inlineStr">
        <is>
          <t>ÖSTERGÖTLANDS LÄN</t>
        </is>
      </c>
      <c r="G312" t="inlineStr">
        <is>
          <t>SÖDERKÖPING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46281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46281</v>
      </c>
      <c r="F314" t="inlineStr">
        <is>
          <t>ÖSTERGÖTLANDS LÄN</t>
        </is>
      </c>
      <c r="G314" t="inlineStr">
        <is>
          <t>SÖDERKÖPING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46281</v>
      </c>
      <c r="F315" t="inlineStr">
        <is>
          <t>ÖSTERGÖTLANDS LÄN</t>
        </is>
      </c>
      <c r="G315" t="inlineStr">
        <is>
          <t>SÖDERKÖPING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46281</v>
      </c>
      <c r="F316" t="inlineStr">
        <is>
          <t>ÖSTERGÖTLANDS LÄN</t>
        </is>
      </c>
      <c r="G316" t="inlineStr">
        <is>
          <t>SÖDERKÖPING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46281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46281</v>
      </c>
      <c r="F318" t="inlineStr">
        <is>
          <t>ÖSTERGÖTLANDS LÄN</t>
        </is>
      </c>
      <c r="G318" t="inlineStr">
        <is>
          <t>SÖDERKÖPING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46281</v>
      </c>
      <c r="F319" t="inlineStr">
        <is>
          <t>ÖSTERGÖTLANDS LÄN</t>
        </is>
      </c>
      <c r="G319" t="inlineStr">
        <is>
          <t>SÖDERKÖPING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46281</v>
      </c>
      <c r="F320" t="inlineStr">
        <is>
          <t>ÖSTERGÖTLANDS LÄN</t>
        </is>
      </c>
      <c r="G320" t="inlineStr">
        <is>
          <t>SÖDERKÖPING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45692</v>
      </c>
      <c r="E321" s="1" t="n">
        <v>46281</v>
      </c>
      <c r="F321" t="inlineStr">
        <is>
          <t>ÖSTERGÖTLANDS LÄN</t>
        </is>
      </c>
      <c r="G321" t="inlineStr">
        <is>
          <t>SÖDERKÖPING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46281</v>
      </c>
      <c r="F322" t="inlineStr">
        <is>
          <t>ÖSTERGÖTLANDS LÄN</t>
        </is>
      </c>
      <c r="G322" t="inlineStr">
        <is>
          <t>SÖDERKÖPING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45184</v>
      </c>
      <c r="E323" s="1" t="n">
        <v>46281</v>
      </c>
      <c r="F323" t="inlineStr">
        <is>
          <t>ÖSTERGÖTLANDS LÄN</t>
        </is>
      </c>
      <c r="G323" t="inlineStr">
        <is>
          <t>SÖDERKÖPING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45601</v>
      </c>
      <c r="E324" s="1" t="n">
        <v>46281</v>
      </c>
      <c r="F324" t="inlineStr">
        <is>
          <t>ÖSTERGÖTLANDS LÄN</t>
        </is>
      </c>
      <c r="G324" t="inlineStr">
        <is>
          <t>SÖDERKÖPING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46281</v>
      </c>
      <c r="F325" t="inlineStr">
        <is>
          <t>ÖSTERGÖTLANDS LÄN</t>
        </is>
      </c>
      <c r="G325" t="inlineStr">
        <is>
          <t>SÖDERKÖPING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46281</v>
      </c>
      <c r="F326" t="inlineStr">
        <is>
          <t>ÖSTERGÖTLANDS LÄN</t>
        </is>
      </c>
      <c r="G326" t="inlineStr">
        <is>
          <t>SÖDERKÖPING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46281</v>
      </c>
      <c r="F327" t="inlineStr">
        <is>
          <t>ÖSTERGÖTLANDS LÄN</t>
        </is>
      </c>
      <c r="G327" t="inlineStr">
        <is>
          <t>SÖDERKÖPING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46281</v>
      </c>
      <c r="F328" t="inlineStr">
        <is>
          <t>ÖSTERGÖTLANDS LÄN</t>
        </is>
      </c>
      <c r="G328" t="inlineStr">
        <is>
          <t>SÖDERKÖPING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46281</v>
      </c>
      <c r="F329" t="inlineStr">
        <is>
          <t>ÖSTERGÖTLANDS LÄN</t>
        </is>
      </c>
      <c r="G329" t="inlineStr">
        <is>
          <t>SÖDERKÖPING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46281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45797</v>
      </c>
      <c r="E331" s="1" t="n">
        <v>46281</v>
      </c>
      <c r="F331" t="inlineStr">
        <is>
          <t>ÖSTERGÖTLANDS LÄN</t>
        </is>
      </c>
      <c r="G331" t="inlineStr">
        <is>
          <t>SÖDERKÖPING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46281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46281</v>
      </c>
      <c r="F333" t="inlineStr">
        <is>
          <t>ÖSTERGÖTLANDS LÄN</t>
        </is>
      </c>
      <c r="G333" t="inlineStr">
        <is>
          <t>SÖDERKÖPING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46281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46281</v>
      </c>
      <c r="F335" t="inlineStr">
        <is>
          <t>ÖSTERGÖTLANDS LÄN</t>
        </is>
      </c>
      <c r="G335" t="inlineStr">
        <is>
          <t>SÖDERKÖPING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46281</v>
      </c>
      <c r="F336" t="inlineStr">
        <is>
          <t>ÖSTERGÖTLANDS LÄN</t>
        </is>
      </c>
      <c r="G336" t="inlineStr">
        <is>
          <t>SÖDERKÖPING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46281</v>
      </c>
      <c r="F337" t="inlineStr">
        <is>
          <t>ÖSTERGÖTLANDS LÄN</t>
        </is>
      </c>
      <c r="G337" t="inlineStr">
        <is>
          <t>SÖDERKÖPING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46281</v>
      </c>
      <c r="F338" t="inlineStr">
        <is>
          <t>ÖSTERGÖTLANDS LÄN</t>
        </is>
      </c>
      <c r="G338" t="inlineStr">
        <is>
          <t>SÖDERKÖPING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45742</v>
      </c>
      <c r="E339" s="1" t="n">
        <v>46281</v>
      </c>
      <c r="F339" t="inlineStr">
        <is>
          <t>ÖSTERGÖTLANDS LÄN</t>
        </is>
      </c>
      <c r="G339" t="inlineStr">
        <is>
          <t>SÖDERKÖPING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46281</v>
      </c>
      <c r="F340" t="inlineStr">
        <is>
          <t>ÖSTERGÖTLANDS LÄN</t>
        </is>
      </c>
      <c r="G340" t="inlineStr">
        <is>
          <t>SÖDERKÖPING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45849</v>
      </c>
      <c r="E341" s="1" t="n">
        <v>46281</v>
      </c>
      <c r="F341" t="inlineStr">
        <is>
          <t>ÖSTERGÖTLANDS LÄN</t>
        </is>
      </c>
      <c r="G341" t="inlineStr">
        <is>
          <t>SÖDERKÖPING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46281</v>
      </c>
      <c r="F342" t="inlineStr">
        <is>
          <t>ÖSTERGÖTLANDS LÄN</t>
        </is>
      </c>
      <c r="G342" t="inlineStr">
        <is>
          <t>SÖDERKÖPING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46281</v>
      </c>
      <c r="F343" t="inlineStr">
        <is>
          <t>ÖSTERGÖTLANDS LÄN</t>
        </is>
      </c>
      <c r="G343" t="inlineStr">
        <is>
          <t>SÖDERKÖPING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46281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46281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46281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46281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46281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46281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2026-09-16T02:02:51Z</dcterms:created>
  <dcterms:modified xmlns:dcterms="http://purl.org/dc/terms/" xmlns:xsi="http://www.w3.org/2001/XMLSchema-instance" xsi:type="dcterms:W3CDTF">2026-09-16T02:02:52Z</dcterms:modified>
</cp:coreProperties>
</file>