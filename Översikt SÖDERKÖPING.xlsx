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46236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46236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46236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46236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46236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46236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46236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46236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46236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46236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46236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21042-2026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46236</v>
      </c>
      <c r="F17" t="inlineStr">
        <is>
          <t>ÖSTERGÖTLANDS LÄN</t>
        </is>
      </c>
      <c r="G17" t="inlineStr">
        <is>
          <t>SÖDERKÖPING</t>
        </is>
      </c>
      <c r="I17" t="n">
        <v>0.7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 dropplav
Gulpudrad spiklav</t>
        </is>
      </c>
      <c r="W17">
        <f>HYPERLINK("https://klasma.github.io/Logging_0582/artfynd/A 21042-2026 artfynd.xlsx", "A 21042-2026")</f>
        <v/>
      </c>
      <c r="X17">
        <f>HYPERLINK("https://klasma.github.io/Logging_0582/kartor/A 21042-2026 karta.png", "A 21042-2026")</f>
        <v/>
      </c>
      <c r="Y17">
        <f>HYPERLINK("https://klasma.github.io/Logging_0582/kartor_geotiff/A 21042-2026 georefererad karta.tif", "A 21042-2026")</f>
        <v/>
      </c>
      <c r="AA17">
        <f>HYPERLINK("https://klasma.github.io/Logging_0582/klagomål/A 21042-2026 FSC-klagomål.docx", "A 21042-2026")</f>
        <v/>
      </c>
      <c r="AB17">
        <f>HYPERLINK("https://klasma.github.io/Logging_0582/klagomålsmail/A 21042-2026 FSC-klagomål mail.docx", "A 21042-2026")</f>
        <v/>
      </c>
      <c r="AC17">
        <f>HYPERLINK("https://klasma.github.io/Logging_0582/tillsyn/A 21042-2026 tillsynsbegäran.docx", "A 21042-2026")</f>
        <v/>
      </c>
      <c r="AD17">
        <f>HYPERLINK("https://klasma.github.io/Logging_0582/tillsynsmail/A 21042-2026 tillsynsbegäran mail.docx", "A 21042-2026")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46236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46236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46236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46236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46236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46236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46236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20269-2026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46236</v>
      </c>
      <c r="F25" t="inlineStr">
        <is>
          <t>ÖSTERGÖTLANDS LÄN</t>
        </is>
      </c>
      <c r="G25" t="inlineStr">
        <is>
          <t>SÖDERKÖPING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Kösa</t>
        </is>
      </c>
      <c r="W25">
        <f>HYPERLINK("https://klasma.github.io/Logging_0582/artfynd/A 20269-2026 artfynd.xlsx", "A 20269-2026")</f>
        <v/>
      </c>
      <c r="X25">
        <f>HYPERLINK("https://klasma.github.io/Logging_0582/kartor/A 20269-2026 karta.png", "A 20269-2026")</f>
        <v/>
      </c>
      <c r="Y25">
        <f>HYPERLINK("https://klasma.github.io/Logging_0582/kartor_geotiff/A 20269-2026 georefererad karta.tif", "A 20269-2026")</f>
        <v/>
      </c>
      <c r="AA25">
        <f>HYPERLINK("https://klasma.github.io/Logging_0582/klagomål/A 20269-2026 FSC-klagomål.docx", "A 20269-2026")</f>
        <v/>
      </c>
      <c r="AB25">
        <f>HYPERLINK("https://klasma.github.io/Logging_0582/klagomålsmail/A 20269-2026 FSC-klagomål mail.docx", "A 20269-2026")</f>
        <v/>
      </c>
      <c r="AC25">
        <f>HYPERLINK("https://klasma.github.io/Logging_0582/tillsyn/A 20269-2026 tillsynsbegäran.docx", "A 20269-2026")</f>
        <v/>
      </c>
      <c r="AD25">
        <f>HYPERLINK("https://klasma.github.io/Logging_0582/tillsynsmail/A 20269-2026 tillsynsbegäran mail.docx", "A 20269-2026")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46236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50708-2024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45601</v>
      </c>
      <c r="E27" s="1" t="n">
        <v>46236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HYPERLINK("https://klasma.github.io/Logging_0582/artfynd/A 50708-2024 artfynd.xlsx", "A 50708-2024")</f>
        <v/>
      </c>
      <c r="X27">
        <f>HYPERLINK("https://klasma.github.io/Logging_0582/kartor/A 50708-2024 karta.png", "A 50708-2024")</f>
        <v/>
      </c>
      <c r="Y27">
        <f>HYPERLINK("https://klasma.github.io/Logging_0582/kartor_geotiff/A 50708-2024 georefererad karta.tif", "A 50708-2024")</f>
        <v/>
      </c>
      <c r="AA27">
        <f>HYPERLINK("https://klasma.github.io/Logging_0582/klagomål/A 50708-2024 FSC-klagomål.docx", "A 50708-2024")</f>
        <v/>
      </c>
      <c r="AB27">
        <f>HYPERLINK("https://klasma.github.io/Logging_0582/klagomålsmail/A 50708-2024 FSC-klagomål mail.docx", "A 50708-2024")</f>
        <v/>
      </c>
      <c r="AC27">
        <f>HYPERLINK("https://klasma.github.io/Logging_0582/tillsyn/A 50708-2024 tillsynsbegäran.docx", "A 50708-2024")</f>
        <v/>
      </c>
      <c r="AD27">
        <f>HYPERLINK("https://klasma.github.io/Logging_0582/tillsynsmail/A 50708-2024 tillsynsbegäran mail.docx", "A 50708-2024")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46236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46236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46236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46236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46236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17632-2026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46236</v>
      </c>
      <c r="F33" t="inlineStr">
        <is>
          <t>ÖSTERGÖTLANDS LÄN</t>
        </is>
      </c>
      <c r="G33" t="inlineStr">
        <is>
          <t>SÖDERKÖPING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HYPERLINK("https://klasma.github.io/Logging_0582/artfynd/A 17632-2026 artfynd.xlsx", "A 17632-2026")</f>
        <v/>
      </c>
      <c r="X33">
        <f>HYPERLINK("https://klasma.github.io/Logging_0582/kartor/A 17632-2026 karta.png", "A 17632-2026")</f>
        <v/>
      </c>
      <c r="Y33">
        <f>HYPERLINK("https://klasma.github.io/Logging_0582/kartor_geotiff/A 17632-2026 georefererad karta.tif", "A 17632-2026")</f>
        <v/>
      </c>
      <c r="AA33">
        <f>HYPERLINK("https://klasma.github.io/Logging_0582/klagomål/A 17632-2026 FSC-klagomål.docx", "A 17632-2026")</f>
        <v/>
      </c>
      <c r="AB33">
        <f>HYPERLINK("https://klasma.github.io/Logging_0582/klagomålsmail/A 17632-2026 FSC-klagomål mail.docx", "A 17632-2026")</f>
        <v/>
      </c>
      <c r="AC33">
        <f>HYPERLINK("https://klasma.github.io/Logging_0582/tillsyn/A 17632-2026 tillsynsbegäran.docx", "A 17632-2026")</f>
        <v/>
      </c>
      <c r="AD33">
        <f>HYPERLINK("https://klasma.github.io/Logging_0582/tillsynsmail/A 17632-2026 tillsynsbegäran mail.docx", "A 17632-2026")</f>
        <v/>
      </c>
    </row>
    <row r="34" ht="15" customHeight="1">
      <c r="A34" t="inlineStr">
        <is>
          <t>A 8156-2023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46236</v>
      </c>
      <c r="F34" t="inlineStr">
        <is>
          <t>ÖSTERGÖTLANDS LÄN</t>
        </is>
      </c>
      <c r="G34" t="inlineStr">
        <is>
          <t>SÖDERKÖPING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Hasselsnok</t>
        </is>
      </c>
      <c r="W34">
        <f>HYPERLINK("https://klasma.github.io/Logging_0582/artfynd/A 8156-2023 artfynd.xlsx", "A 8156-2023")</f>
        <v/>
      </c>
      <c r="X34">
        <f>HYPERLINK("https://klasma.github.io/Logging_0582/kartor/A 8156-2023 karta.png", "A 8156-2023")</f>
        <v/>
      </c>
      <c r="Y34">
        <f>HYPERLINK("https://klasma.github.io/Logging_0582/kartor_geotiff/A 8156-2023 georefererad karta.tif", "A 8156-2023")</f>
        <v/>
      </c>
      <c r="AA34">
        <f>HYPERLINK("https://klasma.github.io/Logging_0582/klagomål/A 8156-2023 FSC-klagomål.docx", "A 8156-2023")</f>
        <v/>
      </c>
      <c r="AB34">
        <f>HYPERLINK("https://klasma.github.io/Logging_0582/klagomålsmail/A 8156-2023 FSC-klagomål mail.docx", "A 8156-2023")</f>
        <v/>
      </c>
      <c r="AC34">
        <f>HYPERLINK("https://klasma.github.io/Logging_0582/tillsyn/A 8156-2023 tillsynsbegäran.docx", "A 8156-2023")</f>
        <v/>
      </c>
      <c r="AD34">
        <f>HYPERLINK("https://klasma.github.io/Logging_0582/tillsynsmail/A 8156-2023 tillsynsbegäran mail.docx", "A 8156-2023")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46236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46236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46236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46236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46236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46236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46236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46236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44420</v>
      </c>
      <c r="E43" s="1" t="n">
        <v>46236</v>
      </c>
      <c r="F43" t="inlineStr">
        <is>
          <t>ÖSTERGÖTLANDS LÄN</t>
        </is>
      </c>
      <c r="G43" t="inlineStr">
        <is>
          <t>SÖDERKÖPING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46236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46236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46236</v>
      </c>
      <c r="F46" t="inlineStr">
        <is>
          <t>ÖSTERGÖTLANDS LÄN</t>
        </is>
      </c>
      <c r="G46" t="inlineStr">
        <is>
          <t>SÖDERKÖPING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46236</v>
      </c>
      <c r="F47" t="inlineStr">
        <is>
          <t>ÖSTERGÖTLANDS LÄN</t>
        </is>
      </c>
      <c r="G47" t="inlineStr">
        <is>
          <t>SÖDERKÖPING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46236</v>
      </c>
      <c r="F48" t="inlineStr">
        <is>
          <t>ÖSTERGÖTLANDS LÄN</t>
        </is>
      </c>
      <c r="G48" t="inlineStr">
        <is>
          <t>SÖDERKÖPING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10836-2022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44627</v>
      </c>
      <c r="E49" s="1" t="n">
        <v>46236</v>
      </c>
      <c r="F49" t="inlineStr">
        <is>
          <t>ÖSTERGÖTLANDS LÄN</t>
        </is>
      </c>
      <c r="G49" t="inlineStr">
        <is>
          <t>SÖDERKÖPING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44685</v>
      </c>
      <c r="E50" s="1" t="n">
        <v>46236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46236</v>
      </c>
      <c r="F51" t="inlineStr">
        <is>
          <t>ÖSTERGÖTLANDS LÄN</t>
        </is>
      </c>
      <c r="G51" t="inlineStr">
        <is>
          <t>SÖDERKÖPING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46236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44567</v>
      </c>
      <c r="E53" s="1" t="n">
        <v>46236</v>
      </c>
      <c r="F53" t="inlineStr">
        <is>
          <t>ÖSTERGÖTLANDS LÄN</t>
        </is>
      </c>
      <c r="G53" t="inlineStr">
        <is>
          <t>SÖDERKÖPING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46236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46236</v>
      </c>
      <c r="F55" t="inlineStr">
        <is>
          <t>ÖSTERGÖTLANDS LÄN</t>
        </is>
      </c>
      <c r="G55" t="inlineStr">
        <is>
          <t>SÖDERKÖPING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44414</v>
      </c>
      <c r="E56" s="1" t="n">
        <v>46236</v>
      </c>
      <c r="F56" t="inlineStr">
        <is>
          <t>ÖSTERGÖTLANDS LÄN</t>
        </is>
      </c>
      <c r="G56" t="inlineStr">
        <is>
          <t>SÖDERKÖPING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46236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44722</v>
      </c>
      <c r="E58" s="1" t="n">
        <v>46236</v>
      </c>
      <c r="F58" t="inlineStr">
        <is>
          <t>ÖSTERGÖTLANDS LÄN</t>
        </is>
      </c>
      <c r="G58" t="inlineStr">
        <is>
          <t>SÖDERKÖPING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46236</v>
      </c>
      <c r="F59" t="inlineStr">
        <is>
          <t>ÖSTERGÖTLANDS LÄN</t>
        </is>
      </c>
      <c r="G59" t="inlineStr">
        <is>
          <t>SÖDERKÖPING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46236</v>
      </c>
      <c r="F60" t="inlineStr">
        <is>
          <t>ÖSTERGÖTLANDS LÄN</t>
        </is>
      </c>
      <c r="G60" t="inlineStr">
        <is>
          <t>SÖDERKÖPING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66356-2021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46236</v>
      </c>
      <c r="F61" t="inlineStr">
        <is>
          <t>ÖSTERGÖTLANDS LÄN</t>
        </is>
      </c>
      <c r="G61" t="inlineStr">
        <is>
          <t>SÖDERKÖPING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46236</v>
      </c>
      <c r="F62" t="inlineStr">
        <is>
          <t>ÖSTERGÖTLANDS LÄN</t>
        </is>
      </c>
      <c r="G62" t="inlineStr">
        <is>
          <t>SÖDERKÖPING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46236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Allmännings- och besparingsskogar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44984</v>
      </c>
      <c r="E64" s="1" t="n">
        <v>46236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Allmännings- och besparingsskogar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64825-2023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46236</v>
      </c>
      <c r="F65" t="inlineStr">
        <is>
          <t>ÖSTERGÖTLANDS LÄN</t>
        </is>
      </c>
      <c r="G65" t="inlineStr">
        <is>
          <t>SÖDERKÖPING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46236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44861</v>
      </c>
      <c r="E67" s="1" t="n">
        <v>46236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46236</v>
      </c>
      <c r="F68" t="inlineStr">
        <is>
          <t>ÖSTERGÖTLANDS LÄN</t>
        </is>
      </c>
      <c r="G68" t="inlineStr">
        <is>
          <t>SÖDERKÖPING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46236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46236</v>
      </c>
      <c r="F70" t="inlineStr">
        <is>
          <t>ÖSTERGÖTLANDS LÄN</t>
        </is>
      </c>
      <c r="G70" t="inlineStr">
        <is>
          <t>SÖDERKÖPING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46236</v>
      </c>
      <c r="F71" t="inlineStr">
        <is>
          <t>ÖSTERGÖTLANDS LÄN</t>
        </is>
      </c>
      <c r="G71" t="inlineStr">
        <is>
          <t>SÖDERKÖPING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46236</v>
      </c>
      <c r="F72" t="inlineStr">
        <is>
          <t>ÖSTERGÖTLANDS LÄN</t>
        </is>
      </c>
      <c r="G72" t="inlineStr">
        <is>
          <t>SÖDERKÖPING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46236</v>
      </c>
      <c r="F73" t="inlineStr">
        <is>
          <t>ÖSTERGÖTLANDS LÄN</t>
        </is>
      </c>
      <c r="G73" t="inlineStr">
        <is>
          <t>SÖDERKÖPING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46236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46236</v>
      </c>
      <c r="F75" t="inlineStr">
        <is>
          <t>ÖSTERGÖTLANDS LÄN</t>
        </is>
      </c>
      <c r="G75" t="inlineStr">
        <is>
          <t>SÖDERKÖPING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46236</v>
      </c>
      <c r="F76" t="inlineStr">
        <is>
          <t>ÖSTERGÖTLANDS LÄN</t>
        </is>
      </c>
      <c r="G76" t="inlineStr">
        <is>
          <t>SÖDERKÖPING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46236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45737</v>
      </c>
      <c r="E78" s="1" t="n">
        <v>46236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Holmen skog AB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46236</v>
      </c>
      <c r="F79" t="inlineStr">
        <is>
          <t>ÖSTERGÖTLANDS LÄN</t>
        </is>
      </c>
      <c r="G79" t="inlineStr">
        <is>
          <t>SÖDERKÖPING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45215</v>
      </c>
      <c r="E80" s="1" t="n">
        <v>46236</v>
      </c>
      <c r="F80" t="inlineStr">
        <is>
          <t>ÖSTERGÖTLANDS LÄN</t>
        </is>
      </c>
      <c r="G80" t="inlineStr">
        <is>
          <t>SÖDERKÖPING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66362-2021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46236</v>
      </c>
      <c r="F81" t="inlineStr">
        <is>
          <t>ÖSTERGÖTLANDS LÄN</t>
        </is>
      </c>
      <c r="G81" t="inlineStr">
        <is>
          <t>SÖDERKÖPING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44890</v>
      </c>
      <c r="E82" s="1" t="n">
        <v>46236</v>
      </c>
      <c r="F82" t="inlineStr">
        <is>
          <t>ÖSTERGÖTLANDS LÄN</t>
        </is>
      </c>
      <c r="G82" t="inlineStr">
        <is>
          <t>SÖDERKÖPING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48395-2021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46236</v>
      </c>
      <c r="F83" t="inlineStr">
        <is>
          <t>ÖSTERGÖTLANDS LÄN</t>
        </is>
      </c>
      <c r="G83" t="inlineStr">
        <is>
          <t>SÖDERKÖPING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46236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46236</v>
      </c>
      <c r="F85" t="inlineStr">
        <is>
          <t>ÖSTERGÖTLANDS LÄN</t>
        </is>
      </c>
      <c r="G85" t="inlineStr">
        <is>
          <t>SÖDERKÖPING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46236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46236</v>
      </c>
      <c r="F87" t="inlineStr">
        <is>
          <t>ÖSTERGÖTLANDS LÄN</t>
        </is>
      </c>
      <c r="G87" t="inlineStr">
        <is>
          <t>SÖDERKÖPING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45297</v>
      </c>
      <c r="E88" s="1" t="n">
        <v>46236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46236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46236</v>
      </c>
      <c r="F90" t="inlineStr">
        <is>
          <t>ÖSTERGÖTLANDS LÄN</t>
        </is>
      </c>
      <c r="G90" t="inlineStr">
        <is>
          <t>SÖDERKÖPING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46236</v>
      </c>
      <c r="F91" t="inlineStr">
        <is>
          <t>ÖSTERGÖTLANDS LÄN</t>
        </is>
      </c>
      <c r="G91" t="inlineStr">
        <is>
          <t>SÖDERKÖPING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46236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46236</v>
      </c>
      <c r="F93" t="inlineStr">
        <is>
          <t>ÖSTERGÖTLANDS LÄN</t>
        </is>
      </c>
      <c r="G93" t="inlineStr">
        <is>
          <t>SÖDERKÖPING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46236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44805</v>
      </c>
      <c r="E95" s="1" t="n">
        <v>46236</v>
      </c>
      <c r="F95" t="inlineStr">
        <is>
          <t>ÖSTERGÖTLANDS LÄN</t>
        </is>
      </c>
      <c r="G95" t="inlineStr">
        <is>
          <t>SÖDERKÖPING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46236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46236</v>
      </c>
      <c r="F97" t="inlineStr">
        <is>
          <t>ÖSTERGÖTLANDS LÄN</t>
        </is>
      </c>
      <c r="G97" t="inlineStr">
        <is>
          <t>SÖDERKÖPING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46236</v>
      </c>
      <c r="F98" t="inlineStr">
        <is>
          <t>ÖSTERGÖTLANDS LÄN</t>
        </is>
      </c>
      <c r="G98" t="inlineStr">
        <is>
          <t>SÖDERKÖPING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46236</v>
      </c>
      <c r="F99" t="inlineStr">
        <is>
          <t>ÖSTERGÖTLANDS LÄN</t>
        </is>
      </c>
      <c r="G99" t="inlineStr">
        <is>
          <t>SÖDERKÖPING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45061</v>
      </c>
      <c r="E100" s="1" t="n">
        <v>46236</v>
      </c>
      <c r="F100" t="inlineStr">
        <is>
          <t>ÖSTERGÖTLANDS LÄN</t>
        </is>
      </c>
      <c r="G100" t="inlineStr">
        <is>
          <t>SÖDERKÖPING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46236</v>
      </c>
      <c r="F101" t="inlineStr">
        <is>
          <t>ÖSTERGÖTLANDS LÄN</t>
        </is>
      </c>
      <c r="G101" t="inlineStr">
        <is>
          <t>SÖDERKÖPING</t>
        </is>
      </c>
      <c r="I101" t="n">
        <v>26.6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46236</v>
      </c>
      <c r="F102" t="inlineStr">
        <is>
          <t>ÖSTERGÖTLANDS LÄN</t>
        </is>
      </c>
      <c r="G102" t="inlineStr">
        <is>
          <t>SÖDERKÖPING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46236</v>
      </c>
      <c r="F103" t="inlineStr">
        <is>
          <t>ÖSTERGÖTLANDS LÄN</t>
        </is>
      </c>
      <c r="G103" t="inlineStr">
        <is>
          <t>SÖDERKÖPING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46236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20258-2026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46139</v>
      </c>
      <c r="E105" s="1" t="n">
        <v>46236</v>
      </c>
      <c r="F105" t="inlineStr">
        <is>
          <t>ÖSTERGÖTLANDS LÄN</t>
        </is>
      </c>
      <c r="G105" t="inlineStr">
        <is>
          <t>SÖDERKÖPING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46236</v>
      </c>
      <c r="F106" t="inlineStr">
        <is>
          <t>ÖSTERGÖTLANDS LÄN</t>
        </is>
      </c>
      <c r="G106" t="inlineStr">
        <is>
          <t>SÖDERKÖPING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46236</v>
      </c>
      <c r="F107" t="inlineStr">
        <is>
          <t>ÖSTERGÖTLANDS LÄN</t>
        </is>
      </c>
      <c r="G107" t="inlineStr">
        <is>
          <t>SÖDERKÖPING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46236</v>
      </c>
      <c r="F108" t="inlineStr">
        <is>
          <t>ÖSTERGÖTLANDS LÄN</t>
        </is>
      </c>
      <c r="G108" t="inlineStr">
        <is>
          <t>SÖDERKÖPING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45344</v>
      </c>
      <c r="E109" s="1" t="n">
        <v>46236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44978</v>
      </c>
      <c r="E110" s="1" t="n">
        <v>46236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Allmännings- och besparingsskogar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46236</v>
      </c>
      <c r="F111" t="inlineStr">
        <is>
          <t>ÖSTERGÖTLANDS LÄN</t>
        </is>
      </c>
      <c r="G111" t="inlineStr">
        <is>
          <t>SÖDERKÖPING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46236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46236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46236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46236</v>
      </c>
      <c r="F115" t="inlineStr">
        <is>
          <t>ÖSTERGÖTLANDS LÄN</t>
        </is>
      </c>
      <c r="G115" t="inlineStr">
        <is>
          <t>SÖDERKÖPING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46236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46236</v>
      </c>
      <c r="F117" t="inlineStr">
        <is>
          <t>ÖSTERGÖTLANDS LÄN</t>
        </is>
      </c>
      <c r="G117" t="inlineStr">
        <is>
          <t>SÖDERKÖPING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46236</v>
      </c>
      <c r="F118" t="inlineStr">
        <is>
          <t>ÖSTERGÖTLANDS LÄN</t>
        </is>
      </c>
      <c r="G118" t="inlineStr">
        <is>
          <t>SÖDERKÖPING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46236</v>
      </c>
      <c r="F119" t="inlineStr">
        <is>
          <t>ÖSTERGÖTLANDS LÄN</t>
        </is>
      </c>
      <c r="G119" t="inlineStr">
        <is>
          <t>SÖDERKÖPING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44736</v>
      </c>
      <c r="E120" s="1" t="n">
        <v>46236</v>
      </c>
      <c r="F120" t="inlineStr">
        <is>
          <t>ÖSTERGÖTLANDS LÄN</t>
        </is>
      </c>
      <c r="G120" t="inlineStr">
        <is>
          <t>SÖDERKÖPING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46236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46236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46236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46236</v>
      </c>
      <c r="F124" t="inlineStr">
        <is>
          <t>ÖSTERGÖTLANDS LÄN</t>
        </is>
      </c>
      <c r="G124" t="inlineStr">
        <is>
          <t>SÖDERKÖPING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46236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46236</v>
      </c>
      <c r="F126" t="inlineStr">
        <is>
          <t>ÖSTERGÖTLANDS LÄN</t>
        </is>
      </c>
      <c r="G126" t="inlineStr">
        <is>
          <t>SÖDERKÖPING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46236</v>
      </c>
      <c r="F127" t="inlineStr">
        <is>
          <t>ÖSTERGÖTLANDS LÄN</t>
        </is>
      </c>
      <c r="G127" t="inlineStr">
        <is>
          <t>SÖDERKÖPING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46236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45293</v>
      </c>
      <c r="E129" s="1" t="n">
        <v>46236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46236</v>
      </c>
      <c r="F130" t="inlineStr">
        <is>
          <t>ÖSTERGÖTLANDS LÄN</t>
        </is>
      </c>
      <c r="G130" t="inlineStr">
        <is>
          <t>SÖDERKÖPING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46236</v>
      </c>
      <c r="F131" t="inlineStr">
        <is>
          <t>ÖSTERGÖTLANDS LÄN</t>
        </is>
      </c>
      <c r="G131" t="inlineStr">
        <is>
          <t>SÖDERKÖPING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46236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46236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46236</v>
      </c>
      <c r="F134" t="inlineStr">
        <is>
          <t>ÖSTERGÖTLANDS LÄN</t>
        </is>
      </c>
      <c r="G134" t="inlineStr">
        <is>
          <t>SÖDERKÖPING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46236</v>
      </c>
      <c r="F135" t="inlineStr">
        <is>
          <t>ÖSTERGÖTLANDS LÄN</t>
        </is>
      </c>
      <c r="G135" t="inlineStr">
        <is>
          <t>SÖDERKÖPING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46236</v>
      </c>
      <c r="F136" t="inlineStr">
        <is>
          <t>ÖSTERGÖTLANDS LÄN</t>
        </is>
      </c>
      <c r="G136" t="inlineStr">
        <is>
          <t>SÖDERKÖPING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46236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46236</v>
      </c>
      <c r="F138" t="inlineStr">
        <is>
          <t>ÖSTERGÖTLANDS LÄN</t>
        </is>
      </c>
      <c r="G138" t="inlineStr">
        <is>
          <t>SÖDERKÖPING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46236</v>
      </c>
      <c r="F139" t="inlineStr">
        <is>
          <t>ÖSTERGÖTLANDS LÄN</t>
        </is>
      </c>
      <c r="G139" t="inlineStr">
        <is>
          <t>SÖDERKÖPING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46236</v>
      </c>
      <c r="F140" t="inlineStr">
        <is>
          <t>ÖSTERGÖTLANDS LÄN</t>
        </is>
      </c>
      <c r="G140" t="inlineStr">
        <is>
          <t>SÖDERKÖPING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46236</v>
      </c>
      <c r="F141" t="inlineStr">
        <is>
          <t>ÖSTERGÖTLANDS LÄN</t>
        </is>
      </c>
      <c r="G141" t="inlineStr">
        <is>
          <t>SÖDERKÖPING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44956</v>
      </c>
      <c r="E142" s="1" t="n">
        <v>46236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45663</v>
      </c>
      <c r="E143" s="1" t="n">
        <v>46236</v>
      </c>
      <c r="F143" t="inlineStr">
        <is>
          <t>ÖSTERGÖTLANDS LÄN</t>
        </is>
      </c>
      <c r="G143" t="inlineStr">
        <is>
          <t>SÖDERKÖPING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44734</v>
      </c>
      <c r="E144" s="1" t="n">
        <v>46236</v>
      </c>
      <c r="F144" t="inlineStr">
        <is>
          <t>ÖSTERGÖTLANDS LÄN</t>
        </is>
      </c>
      <c r="G144" t="inlineStr">
        <is>
          <t>SÖDERKÖPING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46236</v>
      </c>
      <c r="F145" t="inlineStr">
        <is>
          <t>ÖSTERGÖTLANDS LÄN</t>
        </is>
      </c>
      <c r="G145" t="inlineStr">
        <is>
          <t>SÖDERKÖPING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53889-2021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44469</v>
      </c>
      <c r="E146" s="1" t="n">
        <v>46236</v>
      </c>
      <c r="F146" t="inlineStr">
        <is>
          <t>ÖSTERGÖTLANDS LÄN</t>
        </is>
      </c>
      <c r="G146" t="inlineStr">
        <is>
          <t>SÖDERKÖPING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25790-2023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45090</v>
      </c>
      <c r="E147" s="1" t="n">
        <v>46236</v>
      </c>
      <c r="F147" t="inlineStr">
        <is>
          <t>ÖSTERGÖTLANDS LÄN</t>
        </is>
      </c>
      <c r="G147" t="inlineStr">
        <is>
          <t>SÖDERKÖPING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44798</v>
      </c>
      <c r="E148" s="1" t="n">
        <v>46236</v>
      </c>
      <c r="F148" t="inlineStr">
        <is>
          <t>ÖSTERGÖTLANDS LÄN</t>
        </is>
      </c>
      <c r="G148" t="inlineStr">
        <is>
          <t>SÖDERKÖPING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46236</v>
      </c>
      <c r="F149" t="inlineStr">
        <is>
          <t>ÖSTERGÖTLANDS LÄN</t>
        </is>
      </c>
      <c r="G149" t="inlineStr">
        <is>
          <t>SÖDERKÖPING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46236</v>
      </c>
      <c r="F150" t="inlineStr">
        <is>
          <t>ÖSTERGÖTLANDS LÄN</t>
        </is>
      </c>
      <c r="G150" t="inlineStr">
        <is>
          <t>SÖDERKÖPING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46236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60160-2021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44495</v>
      </c>
      <c r="E152" s="1" t="n">
        <v>46236</v>
      </c>
      <c r="F152" t="inlineStr">
        <is>
          <t>ÖSTERGÖTLANDS LÄN</t>
        </is>
      </c>
      <c r="G152" t="inlineStr">
        <is>
          <t>SÖDERKÖPING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46236</v>
      </c>
      <c r="F153" t="inlineStr">
        <is>
          <t>ÖSTERGÖTLANDS LÄN</t>
        </is>
      </c>
      <c r="G153" t="inlineStr">
        <is>
          <t>SÖDERKÖPING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45701</v>
      </c>
      <c r="E154" s="1" t="n">
        <v>46236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45751</v>
      </c>
      <c r="E155" s="1" t="n">
        <v>46236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46236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46236</v>
      </c>
      <c r="F157" t="inlineStr">
        <is>
          <t>ÖSTERGÖTLANDS LÄN</t>
        </is>
      </c>
      <c r="G157" t="inlineStr">
        <is>
          <t>SÖDERKÖPING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46236</v>
      </c>
      <c r="F158" t="inlineStr">
        <is>
          <t>ÖSTERGÖTLANDS LÄN</t>
        </is>
      </c>
      <c r="G158" t="inlineStr">
        <is>
          <t>SÖDERKÖPING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46236</v>
      </c>
      <c r="F159" t="inlineStr">
        <is>
          <t>ÖSTERGÖTLANDS LÄN</t>
        </is>
      </c>
      <c r="G159" t="inlineStr">
        <is>
          <t>SÖDERKÖPING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45058</v>
      </c>
      <c r="E160" s="1" t="n">
        <v>46236</v>
      </c>
      <c r="F160" t="inlineStr">
        <is>
          <t>ÖSTERGÖTLANDS LÄN</t>
        </is>
      </c>
      <c r="G160" t="inlineStr">
        <is>
          <t>SÖDERKÖPING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20221-2023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45055</v>
      </c>
      <c r="E161" s="1" t="n">
        <v>46236</v>
      </c>
      <c r="F161" t="inlineStr">
        <is>
          <t>ÖSTERGÖTLANDS LÄN</t>
        </is>
      </c>
      <c r="G161" t="inlineStr">
        <is>
          <t>SÖDERKÖPING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46236</v>
      </c>
      <c r="F162" t="inlineStr">
        <is>
          <t>ÖSTERGÖTLANDS LÄN</t>
        </is>
      </c>
      <c r="G162" t="inlineStr">
        <is>
          <t>SÖDERKÖPING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46236</v>
      </c>
      <c r="F163" t="inlineStr">
        <is>
          <t>ÖSTERGÖTLANDS LÄN</t>
        </is>
      </c>
      <c r="G163" t="inlineStr">
        <is>
          <t>SÖDERKÖPING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46236</v>
      </c>
      <c r="F164" t="inlineStr">
        <is>
          <t>ÖSTERGÖTLANDS LÄN</t>
        </is>
      </c>
      <c r="G164" t="inlineStr">
        <is>
          <t>SÖDERKÖPING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46236</v>
      </c>
      <c r="F165" t="inlineStr">
        <is>
          <t>ÖSTERGÖTLANDS LÄN</t>
        </is>
      </c>
      <c r="G165" t="inlineStr">
        <is>
          <t>SÖDERKÖPING</t>
        </is>
      </c>
      <c r="I165" t="n">
        <v>18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46236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Allmännings- och besparingsskogar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46236</v>
      </c>
      <c r="F167" t="inlineStr">
        <is>
          <t>ÖSTERGÖTLANDS LÄN</t>
        </is>
      </c>
      <c r="G167" t="inlineStr">
        <is>
          <t>SÖDERKÖPING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46236</v>
      </c>
      <c r="F168" t="inlineStr">
        <is>
          <t>ÖSTERGÖTLANDS LÄN</t>
        </is>
      </c>
      <c r="G168" t="inlineStr">
        <is>
          <t>SÖDERKÖPING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45426</v>
      </c>
      <c r="E169" s="1" t="n">
        <v>46236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46236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46236</v>
      </c>
      <c r="F171" t="inlineStr">
        <is>
          <t>ÖSTERGÖTLANDS LÄN</t>
        </is>
      </c>
      <c r="G171" t="inlineStr">
        <is>
          <t>SÖDERKÖPING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45504</v>
      </c>
      <c r="E172" s="1" t="n">
        <v>46236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45058</v>
      </c>
      <c r="E173" s="1" t="n">
        <v>46236</v>
      </c>
      <c r="F173" t="inlineStr">
        <is>
          <t>ÖSTERGÖTLANDS LÄN</t>
        </is>
      </c>
      <c r="G173" t="inlineStr">
        <is>
          <t>SÖDERKÖPING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46236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46236</v>
      </c>
      <c r="F175" t="inlineStr">
        <is>
          <t>ÖSTERGÖTLANDS LÄN</t>
        </is>
      </c>
      <c r="G175" t="inlineStr">
        <is>
          <t>SÖDERKÖPING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46236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46236</v>
      </c>
      <c r="F177" t="inlineStr">
        <is>
          <t>ÖSTERGÖTLANDS LÄN</t>
        </is>
      </c>
      <c r="G177" t="inlineStr">
        <is>
          <t>SÖDERKÖPING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46236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46236</v>
      </c>
      <c r="F179" t="inlineStr">
        <is>
          <t>ÖSTERGÖTLANDS LÄN</t>
        </is>
      </c>
      <c r="G179" t="inlineStr">
        <is>
          <t>SÖDERKÖPING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46236</v>
      </c>
      <c r="F180" t="inlineStr">
        <is>
          <t>ÖSTERGÖTLANDS LÄN</t>
        </is>
      </c>
      <c r="G180" t="inlineStr">
        <is>
          <t>SÖDERKÖPING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46236</v>
      </c>
      <c r="F181" t="inlineStr">
        <is>
          <t>ÖSTERGÖTLANDS LÄN</t>
        </is>
      </c>
      <c r="G181" t="inlineStr">
        <is>
          <t>SÖDERKÖPING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46236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46236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46236</v>
      </c>
      <c r="F184" t="inlineStr">
        <is>
          <t>ÖSTERGÖTLANDS LÄN</t>
        </is>
      </c>
      <c r="G184" t="inlineStr">
        <is>
          <t>SÖDERKÖPING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46008</v>
      </c>
      <c r="E185" s="1" t="n">
        <v>46236</v>
      </c>
      <c r="F185" t="inlineStr">
        <is>
          <t>ÖSTERGÖTLANDS LÄN</t>
        </is>
      </c>
      <c r="G185" t="inlineStr">
        <is>
          <t>SÖDERKÖPING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66075-2021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46236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46236</v>
      </c>
      <c r="F187" t="inlineStr">
        <is>
          <t>ÖSTERGÖTLANDS LÄN</t>
        </is>
      </c>
      <c r="G187" t="inlineStr">
        <is>
          <t>SÖDERKÖPING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46236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46236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46236</v>
      </c>
      <c r="F190" t="inlineStr">
        <is>
          <t>ÖSTERGÖTLANDS LÄN</t>
        </is>
      </c>
      <c r="G190" t="inlineStr">
        <is>
          <t>SÖDERKÖPING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46236</v>
      </c>
      <c r="F191" t="inlineStr">
        <is>
          <t>ÖSTERGÖTLANDS LÄN</t>
        </is>
      </c>
      <c r="G191" t="inlineStr">
        <is>
          <t>SÖDERKÖPING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46236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46236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46236</v>
      </c>
      <c r="F194" t="inlineStr">
        <is>
          <t>ÖSTERGÖTLANDS LÄN</t>
        </is>
      </c>
      <c r="G194" t="inlineStr">
        <is>
          <t>SÖDERKÖPING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45295</v>
      </c>
      <c r="E195" s="1" t="n">
        <v>46236</v>
      </c>
      <c r="F195" t="inlineStr">
        <is>
          <t>ÖSTERGÖTLANDS LÄN</t>
        </is>
      </c>
      <c r="G195" t="inlineStr">
        <is>
          <t>SÖDERKÖPING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46236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46236</v>
      </c>
      <c r="F197" t="inlineStr">
        <is>
          <t>ÖSTERGÖTLANDS LÄN</t>
        </is>
      </c>
      <c r="G197" t="inlineStr">
        <is>
          <t>SÖDERKÖPING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46236</v>
      </c>
      <c r="F198" t="inlineStr">
        <is>
          <t>ÖSTERGÖTLANDS LÄN</t>
        </is>
      </c>
      <c r="G198" t="inlineStr">
        <is>
          <t>SÖDERKÖPING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46236</v>
      </c>
      <c r="F199" t="inlineStr">
        <is>
          <t>ÖSTERGÖTLANDS LÄN</t>
        </is>
      </c>
      <c r="G199" t="inlineStr">
        <is>
          <t>SÖDERKÖPING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45055</v>
      </c>
      <c r="E200" s="1" t="n">
        <v>46236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45055</v>
      </c>
      <c r="E201" s="1" t="n">
        <v>46236</v>
      </c>
      <c r="F201" t="inlineStr">
        <is>
          <t>ÖSTERGÖTLANDS LÄN</t>
        </is>
      </c>
      <c r="G201" t="inlineStr">
        <is>
          <t>SÖDERKÖPING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46236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46236</v>
      </c>
      <c r="F203" t="inlineStr">
        <is>
          <t>ÖSTERGÖTLANDS LÄN</t>
        </is>
      </c>
      <c r="G203" t="inlineStr">
        <is>
          <t>SÖDERKÖPING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46236</v>
      </c>
      <c r="F204" t="inlineStr">
        <is>
          <t>ÖSTERGÖTLANDS LÄN</t>
        </is>
      </c>
      <c r="G204" t="inlineStr">
        <is>
          <t>SÖDERKÖPING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46236</v>
      </c>
      <c r="F205" t="inlineStr">
        <is>
          <t>ÖSTERGÖTLANDS LÄN</t>
        </is>
      </c>
      <c r="G205" t="inlineStr">
        <is>
          <t>SÖDERKÖPING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46236</v>
      </c>
      <c r="F206" t="inlineStr">
        <is>
          <t>ÖSTERGÖTLANDS LÄN</t>
        </is>
      </c>
      <c r="G206" t="inlineStr">
        <is>
          <t>SÖDERKÖPING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46236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46236</v>
      </c>
      <c r="F208" t="inlineStr">
        <is>
          <t>ÖSTERGÖTLANDS LÄN</t>
        </is>
      </c>
      <c r="G208" t="inlineStr">
        <is>
          <t>SÖDERKÖPING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46236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Kommuner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46236</v>
      </c>
      <c r="F210" t="inlineStr">
        <is>
          <t>ÖSTERGÖTLANDS LÄN</t>
        </is>
      </c>
      <c r="G210" t="inlineStr">
        <is>
          <t>SÖDERKÖPING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46219</v>
      </c>
      <c r="E211" s="1" t="n">
        <v>46236</v>
      </c>
      <c r="F211" t="inlineStr">
        <is>
          <t>ÖSTERGÖTLANDS LÄN</t>
        </is>
      </c>
      <c r="G211" t="inlineStr">
        <is>
          <t>SÖDERKÖPING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46236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46219</v>
      </c>
      <c r="E213" s="1" t="n">
        <v>46236</v>
      </c>
      <c r="F213" t="inlineStr">
        <is>
          <t>ÖSTERGÖTLANDS LÄN</t>
        </is>
      </c>
      <c r="G213" t="inlineStr">
        <is>
          <t>SÖDERKÖPING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46236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46236</v>
      </c>
      <c r="F215" t="inlineStr">
        <is>
          <t>ÖSTERGÖTLANDS LÄN</t>
        </is>
      </c>
      <c r="G215" t="inlineStr">
        <is>
          <t>SÖDERKÖPING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46236</v>
      </c>
      <c r="F216" t="inlineStr">
        <is>
          <t>ÖSTERGÖTLANDS LÄN</t>
        </is>
      </c>
      <c r="G216" t="inlineStr">
        <is>
          <t>SÖDERKÖPING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46236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1614-2023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46236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46236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Kyrkan</t>
        </is>
      </c>
      <c r="I219" t="n">
        <v>11.7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46236</v>
      </c>
      <c r="F220" t="inlineStr">
        <is>
          <t>ÖSTERGÖTLANDS LÄN</t>
        </is>
      </c>
      <c r="G220" t="inlineStr">
        <is>
          <t>SÖDERKÖPING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45174</v>
      </c>
      <c r="E221" s="1" t="n">
        <v>46236</v>
      </c>
      <c r="F221" t="inlineStr">
        <is>
          <t>ÖSTERGÖTLANDS LÄN</t>
        </is>
      </c>
      <c r="G221" t="inlineStr">
        <is>
          <t>SÖDERKÖPING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45399</v>
      </c>
      <c r="E222" s="1" t="n">
        <v>46236</v>
      </c>
      <c r="F222" t="inlineStr">
        <is>
          <t>ÖSTERGÖTLANDS LÄN</t>
        </is>
      </c>
      <c r="G222" t="inlineStr">
        <is>
          <t>SÖDERKÖPING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46236</v>
      </c>
      <c r="F223" t="inlineStr">
        <is>
          <t>ÖSTERGÖTLANDS LÄN</t>
        </is>
      </c>
      <c r="G223" t="inlineStr">
        <is>
          <t>SÖDERKÖPING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46236</v>
      </c>
      <c r="F224" t="inlineStr">
        <is>
          <t>ÖSTERGÖTLANDS LÄN</t>
        </is>
      </c>
      <c r="G224" t="inlineStr">
        <is>
          <t>SÖDERKÖPING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46236</v>
      </c>
      <c r="F225" t="inlineStr">
        <is>
          <t>ÖSTERGÖTLANDS LÄN</t>
        </is>
      </c>
      <c r="G225" t="inlineStr">
        <is>
          <t>SÖDERKÖPING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46236</v>
      </c>
      <c r="F226" t="inlineStr">
        <is>
          <t>ÖSTERGÖTLANDS LÄN</t>
        </is>
      </c>
      <c r="G226" t="inlineStr">
        <is>
          <t>SÖDERKÖPING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46236</v>
      </c>
      <c r="F227" t="inlineStr">
        <is>
          <t>ÖSTERGÖTLANDS LÄN</t>
        </is>
      </c>
      <c r="G227" t="inlineStr">
        <is>
          <t>SÖDERKÖPING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46236</v>
      </c>
      <c r="F228" t="inlineStr">
        <is>
          <t>ÖSTERGÖTLANDS LÄN</t>
        </is>
      </c>
      <c r="G228" t="inlineStr">
        <is>
          <t>SÖDERKÖPING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46236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Kyrkan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46236</v>
      </c>
      <c r="F230" t="inlineStr">
        <is>
          <t>ÖSTERGÖTLANDS LÄN</t>
        </is>
      </c>
      <c r="G230" t="inlineStr">
        <is>
          <t>SÖDERKÖPING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46236</v>
      </c>
      <c r="F231" t="inlineStr">
        <is>
          <t>ÖSTERGÖTLANDS LÄN</t>
        </is>
      </c>
      <c r="G231" t="inlineStr">
        <is>
          <t>SÖDERKÖPING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46236</v>
      </c>
      <c r="F232" t="inlineStr">
        <is>
          <t>ÖSTERGÖTLANDS LÄN</t>
        </is>
      </c>
      <c r="G232" t="inlineStr">
        <is>
          <t>SÖDERKÖPING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46236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46236</v>
      </c>
      <c r="F234" t="inlineStr">
        <is>
          <t>ÖSTERGÖTLANDS LÄN</t>
        </is>
      </c>
      <c r="G234" t="inlineStr">
        <is>
          <t>SÖDERKÖPING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46236</v>
      </c>
      <c r="F235" t="inlineStr">
        <is>
          <t>ÖSTERGÖTLANDS LÄN</t>
        </is>
      </c>
      <c r="G235" t="inlineStr">
        <is>
          <t>SÖDERKÖPING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26439-2026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46183</v>
      </c>
      <c r="E236" s="1" t="n">
        <v>46236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46236</v>
      </c>
      <c r="F237" t="inlineStr">
        <is>
          <t>ÖSTERGÖTLANDS LÄN</t>
        </is>
      </c>
      <c r="G237" t="inlineStr">
        <is>
          <t>SÖDERKÖPING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46236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46227</v>
      </c>
      <c r="E239" s="1" t="n">
        <v>46236</v>
      </c>
      <c r="F239" t="inlineStr">
        <is>
          <t>ÖSTERGÖTLANDS LÄN</t>
        </is>
      </c>
      <c r="G239" t="inlineStr">
        <is>
          <t>SÖDERKÖPING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46061</v>
      </c>
      <c r="E240" s="1" t="n">
        <v>46236</v>
      </c>
      <c r="F240" t="inlineStr">
        <is>
          <t>ÖSTERGÖTLANDS LÄN</t>
        </is>
      </c>
      <c r="G240" t="inlineStr">
        <is>
          <t>SÖDERKÖPING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46236</v>
      </c>
      <c r="F241" t="inlineStr">
        <is>
          <t>ÖSTERGÖTLANDS LÄN</t>
        </is>
      </c>
      <c r="G241" t="inlineStr">
        <is>
          <t>SÖDERKÖPING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46236</v>
      </c>
      <c r="F242" t="inlineStr">
        <is>
          <t>ÖSTERGÖTLANDS LÄN</t>
        </is>
      </c>
      <c r="G242" t="inlineStr">
        <is>
          <t>SÖDERKÖPING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46227</v>
      </c>
      <c r="E243" s="1" t="n">
        <v>46236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63392-2021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44508</v>
      </c>
      <c r="E244" s="1" t="n">
        <v>46236</v>
      </c>
      <c r="F244" t="inlineStr">
        <is>
          <t>ÖSTERGÖTLANDS LÄN</t>
        </is>
      </c>
      <c r="G244" t="inlineStr">
        <is>
          <t>SÖDERKÖPING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46236</v>
      </c>
      <c r="F245" t="inlineStr">
        <is>
          <t>ÖSTERGÖTLANDS LÄN</t>
        </is>
      </c>
      <c r="G245" t="inlineStr">
        <is>
          <t>SÖDERKÖPING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45376</v>
      </c>
      <c r="E246" s="1" t="n">
        <v>46236</v>
      </c>
      <c r="F246" t="inlineStr">
        <is>
          <t>ÖSTERGÖTLANDS LÄN</t>
        </is>
      </c>
      <c r="G246" t="inlineStr">
        <is>
          <t>SÖDERKÖPING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46236</v>
      </c>
      <c r="F247" t="inlineStr">
        <is>
          <t>ÖSTERGÖTLANDS LÄN</t>
        </is>
      </c>
      <c r="G247" t="inlineStr">
        <is>
          <t>SÖDERKÖPING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44862</v>
      </c>
      <c r="E248" s="1" t="n">
        <v>46236</v>
      </c>
      <c r="F248" t="inlineStr">
        <is>
          <t>ÖSTERGÖTLANDS LÄN</t>
        </is>
      </c>
      <c r="G248" t="inlineStr">
        <is>
          <t>SÖDERKÖPING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22471-2026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46236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Kommuner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44813</v>
      </c>
      <c r="E250" s="1" t="n">
        <v>46236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46236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46236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46236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46236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Holmen skog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11005-2026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46079</v>
      </c>
      <c r="E255" s="1" t="n">
        <v>46236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Kyrkan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46236</v>
      </c>
      <c r="F256" t="inlineStr">
        <is>
          <t>ÖSTERGÖTLANDS LÄN</t>
        </is>
      </c>
      <c r="G256" t="inlineStr">
        <is>
          <t>SÖDERKÖPING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46236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46236</v>
      </c>
      <c r="F258" t="inlineStr">
        <is>
          <t>ÖSTERGÖTLANDS LÄN</t>
        </is>
      </c>
      <c r="G258" t="inlineStr">
        <is>
          <t>SÖDERKÖPING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45097</v>
      </c>
      <c r="E259" s="1" t="n">
        <v>46236</v>
      </c>
      <c r="F259" t="inlineStr">
        <is>
          <t>ÖSTERGÖTLANDS LÄN</t>
        </is>
      </c>
      <c r="G259" t="inlineStr">
        <is>
          <t>SÖDERKÖPING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46236</v>
      </c>
      <c r="F260" t="inlineStr">
        <is>
          <t>ÖSTERGÖTLANDS LÄN</t>
        </is>
      </c>
      <c r="G260" t="inlineStr">
        <is>
          <t>SÖDERKÖPING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44174-2023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46236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46236</v>
      </c>
      <c r="F262" t="inlineStr">
        <is>
          <t>ÖSTERGÖTLANDS LÄN</t>
        </is>
      </c>
      <c r="G262" t="inlineStr">
        <is>
          <t>SÖDERKÖPING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46236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46236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46236</v>
      </c>
      <c r="F265" t="inlineStr">
        <is>
          <t>ÖSTERGÖTLANDS LÄN</t>
        </is>
      </c>
      <c r="G265" t="inlineStr">
        <is>
          <t>SÖDERKÖPING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46236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45055</v>
      </c>
      <c r="E267" s="1" t="n">
        <v>46236</v>
      </c>
      <c r="F267" t="inlineStr">
        <is>
          <t>ÖSTERGÖTLANDS LÄN</t>
        </is>
      </c>
      <c r="G267" t="inlineStr">
        <is>
          <t>SÖDERKÖPING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46236</v>
      </c>
      <c r="F268" t="inlineStr">
        <is>
          <t>ÖSTERGÖTLANDS LÄN</t>
        </is>
      </c>
      <c r="G268" t="inlineStr">
        <is>
          <t>SÖDERKÖPING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45684</v>
      </c>
      <c r="E269" s="1" t="n">
        <v>46236</v>
      </c>
      <c r="F269" t="inlineStr">
        <is>
          <t>ÖSTERGÖTLANDS LÄN</t>
        </is>
      </c>
      <c r="G269" t="inlineStr">
        <is>
          <t>SÖDERKÖPING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46236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Kyrkan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46236</v>
      </c>
      <c r="F271" t="inlineStr">
        <is>
          <t>ÖSTERGÖTLANDS LÄN</t>
        </is>
      </c>
      <c r="G271" t="inlineStr">
        <is>
          <t>SÖDERKÖPING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46236</v>
      </c>
      <c r="F272" t="inlineStr">
        <is>
          <t>ÖSTERGÖTLANDS LÄN</t>
        </is>
      </c>
      <c r="G272" t="inlineStr">
        <is>
          <t>SÖDERKÖPING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46236</v>
      </c>
      <c r="F273" t="inlineStr">
        <is>
          <t>ÖSTERGÖTLANDS LÄN</t>
        </is>
      </c>
      <c r="G273" t="inlineStr">
        <is>
          <t>SÖDERKÖPING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46236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46236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46236</v>
      </c>
      <c r="F276" t="inlineStr">
        <is>
          <t>ÖSTERGÖTLANDS LÄN</t>
        </is>
      </c>
      <c r="G276" t="inlineStr">
        <is>
          <t>SÖDERKÖPING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46236</v>
      </c>
      <c r="F277" t="inlineStr">
        <is>
          <t>ÖSTERGÖTLANDS LÄN</t>
        </is>
      </c>
      <c r="G277" t="inlineStr">
        <is>
          <t>SÖDERKÖPING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46236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44618</v>
      </c>
      <c r="E279" s="1" t="n">
        <v>46236</v>
      </c>
      <c r="F279" t="inlineStr">
        <is>
          <t>ÖSTERGÖTLANDS LÄN</t>
        </is>
      </c>
      <c r="G279" t="inlineStr">
        <is>
          <t>SÖDERKÖPING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46236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46236</v>
      </c>
      <c r="F281" t="inlineStr">
        <is>
          <t>ÖSTERGÖTLANDS LÄN</t>
        </is>
      </c>
      <c r="G281" t="inlineStr">
        <is>
          <t>SÖDERKÖPING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46236</v>
      </c>
      <c r="F282" t="inlineStr">
        <is>
          <t>ÖSTERGÖTLANDS LÄN</t>
        </is>
      </c>
      <c r="G282" t="inlineStr">
        <is>
          <t>SÖDERKÖPING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46236</v>
      </c>
      <c r="F283" t="inlineStr">
        <is>
          <t>ÖSTERGÖTLANDS LÄN</t>
        </is>
      </c>
      <c r="G283" t="inlineStr">
        <is>
          <t>SÖDERKÖPING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46236</v>
      </c>
      <c r="F284" t="inlineStr">
        <is>
          <t>ÖSTERGÖTLANDS LÄN</t>
        </is>
      </c>
      <c r="G284" t="inlineStr">
        <is>
          <t>SÖDERKÖPING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46236</v>
      </c>
      <c r="F285" t="inlineStr">
        <is>
          <t>ÖSTERGÖTLANDS LÄN</t>
        </is>
      </c>
      <c r="G285" t="inlineStr">
        <is>
          <t>SÖDERKÖPING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46236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46236</v>
      </c>
      <c r="F287" t="inlineStr">
        <is>
          <t>ÖSTERGÖTLANDS LÄN</t>
        </is>
      </c>
      <c r="G287" t="inlineStr">
        <is>
          <t>SÖDERKÖPING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46236</v>
      </c>
      <c r="F288" t="inlineStr">
        <is>
          <t>ÖSTERGÖTLANDS LÄN</t>
        </is>
      </c>
      <c r="G288" t="inlineStr">
        <is>
          <t>SÖDERKÖPING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46236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46236</v>
      </c>
      <c r="F290" t="inlineStr">
        <is>
          <t>ÖSTERGÖTLANDS LÄN</t>
        </is>
      </c>
      <c r="G290" t="inlineStr">
        <is>
          <t>SÖDERKÖPING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45181</v>
      </c>
      <c r="E291" s="1" t="n">
        <v>46236</v>
      </c>
      <c r="F291" t="inlineStr">
        <is>
          <t>ÖSTERGÖTLANDS LÄN</t>
        </is>
      </c>
      <c r="G291" t="inlineStr">
        <is>
          <t>SÖDERKÖPING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46236</v>
      </c>
      <c r="F292" t="inlineStr">
        <is>
          <t>ÖSTERGÖTLANDS LÄN</t>
        </is>
      </c>
      <c r="G292" t="inlineStr">
        <is>
          <t>SÖDERKÖPING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46236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46236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45250</v>
      </c>
      <c r="E295" s="1" t="n">
        <v>46236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Holmen skog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46236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46236</v>
      </c>
      <c r="F297" t="inlineStr">
        <is>
          <t>ÖSTERGÖTLANDS LÄN</t>
        </is>
      </c>
      <c r="G297" t="inlineStr">
        <is>
          <t>SÖDERKÖPING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46236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46236</v>
      </c>
      <c r="F299" t="inlineStr">
        <is>
          <t>ÖSTERGÖTLANDS LÄN</t>
        </is>
      </c>
      <c r="G299" t="inlineStr">
        <is>
          <t>SÖDERKÖPING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46236</v>
      </c>
      <c r="F300" t="inlineStr">
        <is>
          <t>ÖSTERGÖTLANDS LÄN</t>
        </is>
      </c>
      <c r="G300" t="inlineStr">
        <is>
          <t>SÖDERKÖPING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45504</v>
      </c>
      <c r="E301" s="1" t="n">
        <v>46236</v>
      </c>
      <c r="F301" t="inlineStr">
        <is>
          <t>ÖSTERGÖTLANDS LÄN</t>
        </is>
      </c>
      <c r="G301" t="inlineStr">
        <is>
          <t>SÖDERKÖPING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45504</v>
      </c>
      <c r="E302" s="1" t="n">
        <v>46236</v>
      </c>
      <c r="F302" t="inlineStr">
        <is>
          <t>ÖSTERGÖTLANDS LÄN</t>
        </is>
      </c>
      <c r="G302" t="inlineStr">
        <is>
          <t>SÖDERKÖPING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45435</v>
      </c>
      <c r="E303" s="1" t="n">
        <v>46236</v>
      </c>
      <c r="F303" t="inlineStr">
        <is>
          <t>ÖSTERGÖTLANDS LÄN</t>
        </is>
      </c>
      <c r="G303" t="inlineStr">
        <is>
          <t>SÖDERKÖPING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46236</v>
      </c>
      <c r="F304" t="inlineStr">
        <is>
          <t>ÖSTERGÖTLANDS LÄN</t>
        </is>
      </c>
      <c r="G304" t="inlineStr">
        <is>
          <t>SÖDERKÖPING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45297</v>
      </c>
      <c r="E305" s="1" t="n">
        <v>46236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46236</v>
      </c>
      <c r="F306" t="inlineStr">
        <is>
          <t>ÖSTERGÖTLANDS LÄN</t>
        </is>
      </c>
      <c r="G306" t="inlineStr">
        <is>
          <t>SÖDERKÖPING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46236</v>
      </c>
      <c r="F307" t="inlineStr">
        <is>
          <t>ÖSTERGÖTLANDS LÄN</t>
        </is>
      </c>
      <c r="G307" t="inlineStr">
        <is>
          <t>SÖDERKÖPING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46236</v>
      </c>
      <c r="F308" t="inlineStr">
        <is>
          <t>ÖSTERGÖTLANDS LÄN</t>
        </is>
      </c>
      <c r="G308" t="inlineStr">
        <is>
          <t>SÖDERKÖPING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45254</v>
      </c>
      <c r="E309" s="1" t="n">
        <v>46236</v>
      </c>
      <c r="F309" t="inlineStr">
        <is>
          <t>ÖSTERGÖTLANDS LÄN</t>
        </is>
      </c>
      <c r="G309" t="inlineStr">
        <is>
          <t>SÖDERKÖPING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46236</v>
      </c>
      <c r="F310" t="inlineStr">
        <is>
          <t>ÖSTERGÖTLANDS LÄN</t>
        </is>
      </c>
      <c r="G310" t="inlineStr">
        <is>
          <t>SÖDERKÖPING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46236</v>
      </c>
      <c r="F311" t="inlineStr">
        <is>
          <t>ÖSTERGÖTLANDS LÄN</t>
        </is>
      </c>
      <c r="G311" t="inlineStr">
        <is>
          <t>SÖDERKÖPING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45601</v>
      </c>
      <c r="E312" s="1" t="n">
        <v>46236</v>
      </c>
      <c r="F312" t="inlineStr">
        <is>
          <t>ÖSTERGÖTLANDS LÄN</t>
        </is>
      </c>
      <c r="G312" t="inlineStr">
        <is>
          <t>SÖDERKÖPING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46236</v>
      </c>
      <c r="F313" t="inlineStr">
        <is>
          <t>ÖSTERGÖTLANDS LÄN</t>
        </is>
      </c>
      <c r="G313" t="inlineStr">
        <is>
          <t>SÖDERKÖPING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46236</v>
      </c>
      <c r="F314" t="inlineStr">
        <is>
          <t>ÖSTERGÖTLANDS LÄN</t>
        </is>
      </c>
      <c r="G314" t="inlineStr">
        <is>
          <t>SÖDERKÖPING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46236</v>
      </c>
      <c r="F315" t="inlineStr">
        <is>
          <t>ÖSTERGÖTLANDS LÄN</t>
        </is>
      </c>
      <c r="G315" t="inlineStr">
        <is>
          <t>SÖDERKÖPING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46236</v>
      </c>
      <c r="F316" t="inlineStr">
        <is>
          <t>ÖSTERGÖTLANDS LÄN</t>
        </is>
      </c>
      <c r="G316" t="inlineStr">
        <is>
          <t>SÖDERKÖPING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46236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46236</v>
      </c>
      <c r="F318" t="inlineStr">
        <is>
          <t>ÖSTERGÖTLANDS LÄN</t>
        </is>
      </c>
      <c r="G318" t="inlineStr">
        <is>
          <t>SÖDERKÖPING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47368-2021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44447</v>
      </c>
      <c r="E319" s="1" t="n">
        <v>46236</v>
      </c>
      <c r="F319" t="inlineStr">
        <is>
          <t>ÖSTERGÖTLANDS LÄN</t>
        </is>
      </c>
      <c r="G319" t="inlineStr">
        <is>
          <t>SÖDERKÖPING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46236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46236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46236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44984</v>
      </c>
      <c r="E323" s="1" t="n">
        <v>46236</v>
      </c>
      <c r="F323" t="inlineStr">
        <is>
          <t>ÖSTERGÖTLANDS LÄN</t>
        </is>
      </c>
      <c r="G323" t="inlineStr">
        <is>
          <t>SÖDERKÖPING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44883</v>
      </c>
      <c r="E324" s="1" t="n">
        <v>46236</v>
      </c>
      <c r="F324" t="inlineStr">
        <is>
          <t>ÖSTERGÖTLANDS LÄN</t>
        </is>
      </c>
      <c r="G324" t="inlineStr">
        <is>
          <t>SÖDERKÖPING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46236</v>
      </c>
      <c r="F325" t="inlineStr">
        <is>
          <t>ÖSTERGÖTLANDS LÄN</t>
        </is>
      </c>
      <c r="G325" t="inlineStr">
        <is>
          <t>SÖDERKÖPING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46236</v>
      </c>
      <c r="F326" t="inlineStr">
        <is>
          <t>ÖSTERGÖTLANDS LÄN</t>
        </is>
      </c>
      <c r="G326" t="inlineStr">
        <is>
          <t>SÖDERKÖPING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44775</v>
      </c>
      <c r="E327" s="1" t="n">
        <v>46236</v>
      </c>
      <c r="F327" t="inlineStr">
        <is>
          <t>ÖSTERGÖTLANDS LÄN</t>
        </is>
      </c>
      <c r="G327" t="inlineStr">
        <is>
          <t>SÖDERKÖPING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46236</v>
      </c>
      <c r="F328" t="inlineStr">
        <is>
          <t>ÖSTERGÖTLANDS LÄN</t>
        </is>
      </c>
      <c r="G328" t="inlineStr">
        <is>
          <t>SÖDERKÖPING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46236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46236</v>
      </c>
      <c r="F330" t="inlineStr">
        <is>
          <t>ÖSTERGÖTLANDS LÄN</t>
        </is>
      </c>
      <c r="G330" t="inlineStr">
        <is>
          <t>SÖDERKÖPING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46236</v>
      </c>
      <c r="F331" t="inlineStr">
        <is>
          <t>ÖSTERGÖTLANDS LÄN</t>
        </is>
      </c>
      <c r="G331" t="inlineStr">
        <is>
          <t>SÖDERKÖPING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46236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46236</v>
      </c>
      <c r="F333" t="inlineStr">
        <is>
          <t>ÖSTERGÖTLANDS LÄN</t>
        </is>
      </c>
      <c r="G333" t="inlineStr">
        <is>
          <t>SÖDERKÖPING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46236</v>
      </c>
      <c r="F334" t="inlineStr">
        <is>
          <t>ÖSTERGÖTLANDS LÄN</t>
        </is>
      </c>
      <c r="G334" t="inlineStr">
        <is>
          <t>SÖDERKÖPING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69425-2021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44531</v>
      </c>
      <c r="E335" s="1" t="n">
        <v>46236</v>
      </c>
      <c r="F335" t="inlineStr">
        <is>
          <t>ÖSTERGÖTLANDS LÄN</t>
        </is>
      </c>
      <c r="G335" t="inlineStr">
        <is>
          <t>SÖDERKÖPING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46236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45685</v>
      </c>
      <c r="E337" s="1" t="n">
        <v>46236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46236</v>
      </c>
      <c r="F338" t="inlineStr">
        <is>
          <t>ÖSTERGÖTLANDS LÄN</t>
        </is>
      </c>
      <c r="G338" t="inlineStr">
        <is>
          <t>SÖDERKÖPING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46236</v>
      </c>
      <c r="F339" t="inlineStr">
        <is>
          <t>ÖSTERGÖTLANDS LÄN</t>
        </is>
      </c>
      <c r="G339" t="inlineStr">
        <is>
          <t>SÖDERKÖPING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46236</v>
      </c>
      <c r="F340" t="inlineStr">
        <is>
          <t>ÖSTERGÖTLANDS LÄN</t>
        </is>
      </c>
      <c r="G340" t="inlineStr">
        <is>
          <t>SÖDERKÖPING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46236</v>
      </c>
      <c r="F341" t="inlineStr">
        <is>
          <t>ÖSTERGÖTLANDS LÄN</t>
        </is>
      </c>
      <c r="G341" t="inlineStr">
        <is>
          <t>SÖDERKÖPING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46236</v>
      </c>
      <c r="F342" t="inlineStr">
        <is>
          <t>ÖSTERGÖTLANDS LÄN</t>
        </is>
      </c>
      <c r="G342" t="inlineStr">
        <is>
          <t>SÖDERKÖPING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46236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46236</v>
      </c>
      <c r="F344" t="inlineStr">
        <is>
          <t>ÖSTERGÖTLANDS LÄN</t>
        </is>
      </c>
      <c r="G344" t="inlineStr">
        <is>
          <t>SÖDERKÖPING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34392-2025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45846</v>
      </c>
      <c r="E345" s="1" t="n">
        <v>46236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45849</v>
      </c>
      <c r="E346" s="1" t="n">
        <v>46236</v>
      </c>
      <c r="F346" t="inlineStr">
        <is>
          <t>ÖSTERGÖTLANDS LÄN</t>
        </is>
      </c>
      <c r="G346" t="inlineStr">
        <is>
          <t>SÖDERKÖPING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46236</v>
      </c>
      <c r="F347" t="inlineStr">
        <is>
          <t>ÖSTERGÖTLANDS LÄN</t>
        </is>
      </c>
      <c r="G347" t="inlineStr">
        <is>
          <t>SÖDERKÖPING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46236</v>
      </c>
      <c r="F348" t="inlineStr">
        <is>
          <t>ÖSTERGÖTLANDS LÄN</t>
        </is>
      </c>
      <c r="G348" t="inlineStr">
        <is>
          <t>SÖDERKÖPING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45876</v>
      </c>
      <c r="E349" s="1" t="n">
        <v>46236</v>
      </c>
      <c r="F349" t="inlineStr">
        <is>
          <t>ÖSTERGÖTLANDS LÄN</t>
        </is>
      </c>
      <c r="G349" t="inlineStr">
        <is>
          <t>SÖDERKÖPING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46236</v>
      </c>
      <c r="F350" t="inlineStr">
        <is>
          <t>ÖSTERGÖTLANDS LÄN</t>
        </is>
      </c>
      <c r="G350" t="inlineStr">
        <is>
          <t>SÖDERKÖPING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4766-2024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45610</v>
      </c>
      <c r="E351" s="1" t="n">
        <v>46236</v>
      </c>
      <c r="F351" t="inlineStr">
        <is>
          <t>ÖSTERGÖTLANDS LÄN</t>
        </is>
      </c>
      <c r="G351" t="inlineStr">
        <is>
          <t>SÖDERKÖPING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3958-2024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45567</v>
      </c>
      <c r="E352" s="1" t="n">
        <v>46236</v>
      </c>
      <c r="F352" t="inlineStr">
        <is>
          <t>ÖSTERGÖTLANDS LÄN</t>
        </is>
      </c>
      <c r="G352" t="inlineStr">
        <is>
          <t>SÖDERKÖPING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4052-2023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45246</v>
      </c>
      <c r="E353" s="1" t="n">
        <v>46236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1568-2024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45426</v>
      </c>
      <c r="E354" s="1" t="n">
        <v>46236</v>
      </c>
      <c r="F354" t="inlineStr">
        <is>
          <t>ÖSTERGÖTLANDS LÄN</t>
        </is>
      </c>
      <c r="G354" t="inlineStr">
        <is>
          <t>SÖDERKÖPING</t>
        </is>
      </c>
      <c r="I354" t="n">
        <v>29.3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3312-2023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45195</v>
      </c>
      <c r="E355" s="1" t="n">
        <v>46236</v>
      </c>
      <c r="F355" t="inlineStr">
        <is>
          <t>ÖSTERGÖTLANDS LÄN</t>
        </is>
      </c>
      <c r="G355" t="inlineStr">
        <is>
          <t>SÖDERKÖPING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1540-2026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46168</v>
      </c>
      <c r="E356" s="1" t="n">
        <v>46236</v>
      </c>
      <c r="F356" t="inlineStr">
        <is>
          <t>ÖSTERGÖTLANDS LÄN</t>
        </is>
      </c>
      <c r="G356" t="inlineStr">
        <is>
          <t>SÖDERKÖPING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2026-08-02T01:58:40Z</dcterms:created>
  <dcterms:modified xmlns:dcterms="http://purl.org/dc/terms/" xmlns:xsi="http://www.w3.org/2001/XMLSchema-instance" xsi:type="dcterms:W3CDTF">2026-08-02T01:58:41Z</dcterms:modified>
</cp:coreProperties>
</file>