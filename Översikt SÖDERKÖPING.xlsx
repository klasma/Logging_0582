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50388-2022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44866</v>
      </c>
      <c r="E2" s="1" t="n">
        <v>46326</v>
      </c>
      <c r="F2" t="inlineStr">
        <is>
          <t>ÖSTERGÖTLANDS LÄN</t>
        </is>
      </c>
      <c r="G2" t="inlineStr">
        <is>
          <t>SÖDERKÖPING</t>
        </is>
      </c>
      <c r="I2" t="n">
        <v>10.8</v>
      </c>
      <c r="J2" t="n">
        <v>3</v>
      </c>
      <c r="K2" t="n">
        <v>6</v>
      </c>
      <c r="L2" t="n">
        <v>5</v>
      </c>
      <c r="M2" t="n">
        <v>2</v>
      </c>
      <c r="N2" t="n">
        <v>0</v>
      </c>
      <c r="O2" t="n">
        <v>0</v>
      </c>
      <c r="P2" t="n">
        <v>0</v>
      </c>
      <c r="Q2" t="n">
        <v>7</v>
      </c>
      <c r="R2" t="n">
        <v>2</v>
      </c>
      <c r="S2" t="n">
        <v>14</v>
      </c>
      <c r="T2" t="n">
        <v>28</v>
      </c>
      <c r="U2" t="n">
        <v>27</v>
      </c>
      <c r="V2" s="2" t="inlineStr">
        <is>
          <t>Ekpricklav
Knärot
Dropptaggsvamp
Ekticka
Tallticka
Talltita
Vedskivlav
Fällmossa
Granbarkgnagare
Grovticka
Grönpyrola
Mindre märgborre
Platt fjädermossa
Blåsippa</t>
        </is>
      </c>
      <c r="W2">
        <f>HYPERLINK("https://klasma.github.io/Logging_0582/artfynd/A 50388-2022 artfynd.xlsx", "A 50388-2022")</f>
        <v/>
      </c>
      <c r="X2">
        <f>HYPERLINK("https://klasma.github.io/Logging_0582/kartor/A 50388-2022 karta.png", "A 50388-2022")</f>
        <v/>
      </c>
      <c r="Y2">
        <f>HYPERLINK("https://klasma.github.io/Logging_0582/kartor_geotiff/A 50388-2022 georefererad karta.tif", "A 50388-2022")</f>
        <v/>
      </c>
      <c r="Z2">
        <f>HYPERLINK("https://klasma.github.io/Logging_0582/knärot/A 50388-2022 karta knärot.png", "A 50388-2022")</f>
        <v/>
      </c>
      <c r="AA2">
        <f>HYPERLINK("https://klasma.github.io/Logging_0582/klagomål/A 50388-2022 FSC-klagomål.docx", "A 50388-2022")</f>
        <v/>
      </c>
      <c r="AB2">
        <f>HYPERLINK("https://klasma.github.io/Logging_0582/klagomålsmail/A 50388-2022 FSC-klagomål mail.docx", "A 50388-2022")</f>
        <v/>
      </c>
      <c r="AC2">
        <f>HYPERLINK("https://klasma.github.io/Logging_0582/tillsyn/A 50388-2022 tillsynsbegäran.docx", "A 50388-2022")</f>
        <v/>
      </c>
      <c r="AD2">
        <f>HYPERLINK("https://klasma.github.io/Logging_0582/tillsynsmail/A 50388-2022 tillsynsbegäran mail.docx", "A 50388-2022")</f>
        <v/>
      </c>
      <c r="AE2">
        <f>HYPERLINK("https://klasma.github.io/Logging_0582/fåglar/A 50388-2022 prioriterade fågelarter.docx", "A 50388-2022")</f>
        <v/>
      </c>
    </row>
    <row r="3" ht="15" customHeight="1">
      <c r="A3" t="inlineStr">
        <is>
          <t>A 23127-2026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46161</v>
      </c>
      <c r="E3" s="1" t="n">
        <v>46326</v>
      </c>
      <c r="F3" t="inlineStr">
        <is>
          <t>ÖSTERGÖTLANDS LÄN</t>
        </is>
      </c>
      <c r="G3" t="inlineStr">
        <is>
          <t>SÖDERKÖPING</t>
        </is>
      </c>
      <c r="H3" t="inlineStr">
        <is>
          <t>Holmen skog AB</t>
        </is>
      </c>
      <c r="I3" t="n">
        <v>2.9</v>
      </c>
      <c r="J3" t="n">
        <v>2</v>
      </c>
      <c r="K3" t="n">
        <v>4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6</v>
      </c>
      <c r="R3" t="n">
        <v>2</v>
      </c>
      <c r="S3" t="n">
        <v>11</v>
      </c>
      <c r="T3" t="n">
        <v>30</v>
      </c>
      <c r="U3" t="n">
        <v>22</v>
      </c>
      <c r="V3" s="2" t="inlineStr">
        <is>
          <t>Gul taggsvamp
Knärot
Dropptaggsvamp
Dvärgbägarlav
Motaggsvamp
Vedskivlav
Blåmossa
Bronshjon
Grovticka
Grönpyrola
Tjäder</t>
        </is>
      </c>
      <c r="W3">
        <f>HYPERLINK("https://klasma.github.io/Logging_0582/artfynd/A 23127-2026 artfynd.xlsx", "A 23127-2026")</f>
        <v/>
      </c>
      <c r="X3">
        <f>HYPERLINK("https://klasma.github.io/Logging_0582/kartor/A 23127-2026 karta.png", "A 23127-2026")</f>
        <v/>
      </c>
      <c r="Y3">
        <f>HYPERLINK("https://klasma.github.io/Logging_0582/kartor_geotiff/A 23127-2026 georefererad karta.tif", "A 23127-2026")</f>
        <v/>
      </c>
      <c r="Z3">
        <f>HYPERLINK("https://klasma.github.io/Logging_0582/knärot/A 23127-2026 karta knärot.png", "A 23127-2026")</f>
        <v/>
      </c>
      <c r="AA3">
        <f>HYPERLINK("https://klasma.github.io/Logging_0582/klagomål/A 23127-2026 FSC-klagomål.docx", "A 23127-2026")</f>
        <v/>
      </c>
      <c r="AB3">
        <f>HYPERLINK("https://klasma.github.io/Logging_0582/klagomålsmail/A 23127-2026 FSC-klagomål mail.docx", "A 23127-2026")</f>
        <v/>
      </c>
      <c r="AC3">
        <f>HYPERLINK("https://klasma.github.io/Logging_0582/tillsyn/A 23127-2026 tillsynsbegäran.docx", "A 23127-2026")</f>
        <v/>
      </c>
      <c r="AD3">
        <f>HYPERLINK("https://klasma.github.io/Logging_0582/tillsynsmail/A 23127-2026 tillsynsbegäran mail.docx", "A 23127-2026")</f>
        <v/>
      </c>
      <c r="AE3">
        <f>HYPERLINK("https://klasma.github.io/Logging_0582/fåglar/A 23127-2026 prioriterade fågelarter.docx", "A 23127-2026")</f>
        <v/>
      </c>
    </row>
    <row r="4" ht="15" customHeight="1">
      <c r="A4" t="inlineStr">
        <is>
          <t>A 50386-2022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44866</v>
      </c>
      <c r="E4" s="1" t="n">
        <v>46326</v>
      </c>
      <c r="F4" t="inlineStr">
        <is>
          <t>ÖSTERGÖTLANDS LÄN</t>
        </is>
      </c>
      <c r="G4" t="inlineStr">
        <is>
          <t>SÖDERKÖPING</t>
        </is>
      </c>
      <c r="I4" t="n">
        <v>3.9</v>
      </c>
      <c r="J4" t="n">
        <v>1</v>
      </c>
      <c r="K4" t="n">
        <v>6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11</v>
      </c>
      <c r="T4" t="n">
        <v>18</v>
      </c>
      <c r="U4" t="n">
        <v>16</v>
      </c>
      <c r="V4" s="2" t="inlineStr">
        <is>
          <t>Kattfotslav
Rosa skärelav
Tallticka
Vedskivlav
Bronshjon
Granbarkgnagare
Grönpyrola
Kornig nållav
Kornknutmossa
Stubbspretmossa
Blåsippa</t>
        </is>
      </c>
      <c r="W4">
        <f>HYPERLINK("https://klasma.github.io/Logging_0582/artfynd/A 50386-2022 artfynd.xlsx", "A 50386-2022")</f>
        <v/>
      </c>
      <c r="X4">
        <f>HYPERLINK("https://klasma.github.io/Logging_0582/kartor/A 50386-2022 karta.png", "A 50386-2022")</f>
        <v/>
      </c>
      <c r="Y4">
        <f>HYPERLINK("https://klasma.github.io/Logging_0582/kartor_geotiff/A 50386-2022 georefererad karta.tif", "A 50386-2022")</f>
        <v/>
      </c>
      <c r="AA4">
        <f>HYPERLINK("https://klasma.github.io/Logging_0582/klagomål/A 50386-2022 FSC-klagomål.docx", "A 50386-2022")</f>
        <v/>
      </c>
      <c r="AB4">
        <f>HYPERLINK("https://klasma.github.io/Logging_0582/klagomålsmail/A 50386-2022 FSC-klagomål mail.docx", "A 50386-2022")</f>
        <v/>
      </c>
      <c r="AC4">
        <f>HYPERLINK("https://klasma.github.io/Logging_0582/tillsyn/A 50386-2022 tillsynsbegäran.docx", "A 50386-2022")</f>
        <v/>
      </c>
      <c r="AD4">
        <f>HYPERLINK("https://klasma.github.io/Logging_0582/tillsynsmail/A 50386-2022 tillsynsbegäran mail.docx", "A 50386-2022")</f>
        <v/>
      </c>
    </row>
    <row r="5" ht="15" customHeight="1">
      <c r="A5" t="inlineStr">
        <is>
          <t>A 23061-2026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46161</v>
      </c>
      <c r="E5" s="1" t="n">
        <v>46326</v>
      </c>
      <c r="F5" t="inlineStr">
        <is>
          <t>ÖSTERGÖTLANDS LÄN</t>
        </is>
      </c>
      <c r="G5" t="inlineStr">
        <is>
          <t>SÖDERKÖPING</t>
        </is>
      </c>
      <c r="H5" t="inlineStr">
        <is>
          <t>Holmen skog AB</t>
        </is>
      </c>
      <c r="I5" t="n">
        <v>4.2</v>
      </c>
      <c r="J5" t="n">
        <v>2</v>
      </c>
      <c r="K5" t="n">
        <v>5</v>
      </c>
      <c r="L5" t="n">
        <v>4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1</v>
      </c>
      <c r="S5" t="n">
        <v>11</v>
      </c>
      <c r="T5" t="n">
        <v>24</v>
      </c>
      <c r="U5" t="n">
        <v>11</v>
      </c>
      <c r="V5" s="2" t="inlineStr">
        <is>
          <t>Knärot
Dropptaggsvamp
Dvärgbägarlav
Motaggsvamp
Vedskivlav
Blodticka
Blåmossa
Flagellkvastmossa
Grönpyrola
Mindre märgborre
Tjäder</t>
        </is>
      </c>
      <c r="W5">
        <f>HYPERLINK("https://klasma.github.io/Logging_0582/artfynd/A 23061-2026 artfynd.xlsx", "A 23061-2026")</f>
        <v/>
      </c>
      <c r="X5">
        <f>HYPERLINK("https://klasma.github.io/Logging_0582/kartor/A 23061-2026 karta.png", "A 23061-2026")</f>
        <v/>
      </c>
      <c r="Y5">
        <f>HYPERLINK("https://klasma.github.io/Logging_0582/kartor_geotiff/A 23061-2026 georefererad karta.tif", "A 23061-2026")</f>
        <v/>
      </c>
      <c r="Z5">
        <f>HYPERLINK("https://klasma.github.io/Logging_0582/knärot/A 23061-2026 karta knärot.png", "A 23061-2026")</f>
        <v/>
      </c>
      <c r="AA5">
        <f>HYPERLINK("https://klasma.github.io/Logging_0582/klagomål/A 23061-2026 FSC-klagomål.docx", "A 23061-2026")</f>
        <v/>
      </c>
      <c r="AB5">
        <f>HYPERLINK("https://klasma.github.io/Logging_0582/klagomålsmail/A 23061-2026 FSC-klagomål mail.docx", "A 23061-2026")</f>
        <v/>
      </c>
      <c r="AC5">
        <f>HYPERLINK("https://klasma.github.io/Logging_0582/tillsyn/A 23061-2026 tillsynsbegäran.docx", "A 23061-2026")</f>
        <v/>
      </c>
      <c r="AD5">
        <f>HYPERLINK("https://klasma.github.io/Logging_0582/tillsynsmail/A 23061-2026 tillsynsbegäran mail.docx", "A 23061-2026")</f>
        <v/>
      </c>
      <c r="AE5">
        <f>HYPERLINK("https://klasma.github.io/Logging_0582/fåglar/A 23061-2026 prioriterade fågelarter.docx", "A 23061-2026")</f>
        <v/>
      </c>
    </row>
    <row r="6" ht="15" customHeight="1">
      <c r="A6" t="inlineStr">
        <is>
          <t>A 26931-2026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46185</v>
      </c>
      <c r="E6" s="1" t="n">
        <v>46326</v>
      </c>
      <c r="F6" t="inlineStr">
        <is>
          <t>ÖSTERGÖTLANDS LÄN</t>
        </is>
      </c>
      <c r="G6" t="inlineStr">
        <is>
          <t>SÖDERKÖPING</t>
        </is>
      </c>
      <c r="H6" t="inlineStr">
        <is>
          <t>Allmännings- och besparingsskogar</t>
        </is>
      </c>
      <c r="I6" t="n">
        <v>1.2</v>
      </c>
      <c r="J6" t="n">
        <v>2</v>
      </c>
      <c r="K6" t="n">
        <v>3</v>
      </c>
      <c r="L6" t="n">
        <v>4</v>
      </c>
      <c r="M6" t="n">
        <v>1</v>
      </c>
      <c r="N6" t="n">
        <v>0</v>
      </c>
      <c r="O6" t="n">
        <v>0</v>
      </c>
      <c r="P6" t="n">
        <v>0</v>
      </c>
      <c r="Q6" t="n">
        <v>5</v>
      </c>
      <c r="R6" t="n">
        <v>1</v>
      </c>
      <c r="S6" t="n">
        <v>10</v>
      </c>
      <c r="T6" t="n">
        <v>15</v>
      </c>
      <c r="U6" t="n">
        <v>1</v>
      </c>
      <c r="V6" s="2" t="inlineStr">
        <is>
          <t>Gyllensopp
Gullklubba
Kandelabersvamp
Persiljespindling
Svart skogssnigel
Björksplintborre
Noshornsoxe
Rävticka
Vanlig groda
Vanlig padda</t>
        </is>
      </c>
      <c r="W6">
        <f>HYPERLINK("https://klasma.github.io/Logging_0582/artfynd/A 26931-2026 artfynd.xlsx", "A 26931-2026")</f>
        <v/>
      </c>
      <c r="X6">
        <f>HYPERLINK("https://klasma.github.io/Logging_0582/kartor/A 26931-2026 karta.png", "A 26931-2026")</f>
        <v/>
      </c>
      <c r="Y6">
        <f>HYPERLINK("https://klasma.github.io/Logging_0582/kartor_geotiff/A 26931-2026 georefererad karta.tif", "A 26931-2026")</f>
        <v/>
      </c>
      <c r="AA6">
        <f>HYPERLINK("https://klasma.github.io/Logging_0582/klagomål/A 26931-2026 FSC-klagomål.docx", "A 26931-2026")</f>
        <v/>
      </c>
      <c r="AB6">
        <f>HYPERLINK("https://klasma.github.io/Logging_0582/klagomålsmail/A 26931-2026 FSC-klagomål mail.docx", "A 26931-2026")</f>
        <v/>
      </c>
      <c r="AC6">
        <f>HYPERLINK("https://klasma.github.io/Logging_0582/tillsyn/A 26931-2026 tillsynsbegäran.docx", "A 26931-2026")</f>
        <v/>
      </c>
      <c r="AD6">
        <f>HYPERLINK("https://klasma.github.io/Logging_0582/tillsynsmail/A 26931-2026 tillsynsbegäran mail.docx", "A 26931-2026")</f>
        <v/>
      </c>
    </row>
    <row r="7" ht="15" customHeight="1">
      <c r="A7" t="inlineStr">
        <is>
          <t>A 13129-2022</t>
        </is>
      </c>
      <c r="B7" t="inlineStr">
        <is>
          <t>avverkningsanmälan</t>
        </is>
      </c>
      <c r="C7" t="inlineStr">
        <is>
          <t>Avverkning för att bevara och utveckla /försöksver</t>
        </is>
      </c>
      <c r="D7" s="1" t="n">
        <v>44644</v>
      </c>
      <c r="E7" s="1" t="n">
        <v>46326</v>
      </c>
      <c r="F7" t="inlineStr">
        <is>
          <t>ÖSTERGÖTLANDS LÄN</t>
        </is>
      </c>
      <c r="G7" t="inlineStr">
        <is>
          <t>SÖDERKÖPING</t>
        </is>
      </c>
      <c r="I7" t="n">
        <v>3.1</v>
      </c>
      <c r="J7" t="n">
        <v>1</v>
      </c>
      <c r="K7" t="n">
        <v>1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0</v>
      </c>
      <c r="S7" t="n">
        <v>8</v>
      </c>
      <c r="T7" t="n">
        <v>13</v>
      </c>
      <c r="U7" t="n">
        <v>0</v>
      </c>
      <c r="V7" s="2" t="inlineStr">
        <is>
          <t>Gammelekslav
Oxtungssvamp
Reliktbock
Rosa skärelav
Skuggorangelav
Tallticka
Blåmossa
Gullviva</t>
        </is>
      </c>
      <c r="W7">
        <f>HYPERLINK("https://klasma.github.io/Logging_0582/artfynd/A 13129-2022 artfynd.xlsx", "A 13129-2022")</f>
        <v/>
      </c>
      <c r="X7">
        <f>HYPERLINK("https://klasma.github.io/Logging_0582/kartor/A 13129-2022 karta.png", "A 13129-2022")</f>
        <v/>
      </c>
      <c r="Y7">
        <f>HYPERLINK("https://klasma.github.io/Logging_0582/kartor_geotiff/A 13129-2022 georefererad karta.tif", "A 13129-2022")</f>
        <v/>
      </c>
      <c r="AA7">
        <f>HYPERLINK("https://klasma.github.io/Logging_0582/klagomål/A 13129-2022 FSC-klagomål.docx", "A 13129-2022")</f>
        <v/>
      </c>
      <c r="AB7">
        <f>HYPERLINK("https://klasma.github.io/Logging_0582/klagomålsmail/A 13129-2022 FSC-klagomål mail.docx", "A 13129-2022")</f>
        <v/>
      </c>
      <c r="AC7">
        <f>HYPERLINK("https://klasma.github.io/Logging_0582/tillsyn/A 13129-2022 tillsynsbegäran.docx", "A 13129-2022")</f>
        <v/>
      </c>
      <c r="AD7">
        <f>HYPERLINK("https://klasma.github.io/Logging_0582/tillsynsmail/A 13129-2022 tillsynsbegäran mail.docx", "A 13129-2022")</f>
        <v/>
      </c>
    </row>
    <row r="8" ht="15" customHeight="1">
      <c r="A8" t="inlineStr">
        <is>
          <t>A 35032-2026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46259</v>
      </c>
      <c r="E8" s="1" t="n">
        <v>46326</v>
      </c>
      <c r="F8" t="inlineStr">
        <is>
          <t>ÖSTERGÖTLANDS LÄN</t>
        </is>
      </c>
      <c r="G8" t="inlineStr">
        <is>
          <t>SÖDERKÖPING</t>
        </is>
      </c>
      <c r="H8" t="inlineStr">
        <is>
          <t>Allmännings- och besparingsskogar</t>
        </is>
      </c>
      <c r="I8" t="n">
        <v>7.1</v>
      </c>
      <c r="J8" t="n">
        <v>4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6</v>
      </c>
      <c r="T8" t="n">
        <v>10</v>
      </c>
      <c r="U8" t="n">
        <v>10</v>
      </c>
      <c r="V8" s="2" t="inlineStr">
        <is>
          <t>Svinrot
Blåmossa
Blåsippa
Spillkråka
Tofsmes
Revlummer</t>
        </is>
      </c>
      <c r="W8">
        <f>HYPERLINK("https://klasma.github.io/Logging_0582/artfynd/A 35032-2026 artfynd.xlsx", "A 35032-2026")</f>
        <v/>
      </c>
      <c r="X8">
        <f>HYPERLINK("https://klasma.github.io/Logging_0582/kartor/A 35032-2026 karta.png", "A 35032-2026")</f>
        <v/>
      </c>
      <c r="Y8">
        <f>HYPERLINK("https://klasma.github.io/Logging_0582/kartor_geotiff/A 35032-2026 georefererad karta.tif", "A 35032-2026")</f>
        <v/>
      </c>
      <c r="AA8">
        <f>HYPERLINK("https://klasma.github.io/Logging_0582/klagomål/A 35032-2026 FSC-klagomål.docx", "A 35032-2026")</f>
        <v/>
      </c>
      <c r="AB8">
        <f>HYPERLINK("https://klasma.github.io/Logging_0582/klagomålsmail/A 35032-2026 FSC-klagomål mail.docx", "A 35032-2026")</f>
        <v/>
      </c>
      <c r="AC8">
        <f>HYPERLINK("https://klasma.github.io/Logging_0582/tillsyn/A 35032-2026 tillsynsbegäran.docx", "A 35032-2026")</f>
        <v/>
      </c>
      <c r="AD8">
        <f>HYPERLINK("https://klasma.github.io/Logging_0582/tillsynsmail/A 35032-2026 tillsynsbegäran mail.docx", "A 35032-2026")</f>
        <v/>
      </c>
      <c r="AE8">
        <f>HYPERLINK("https://klasma.github.io/Logging_0582/fåglar/A 35032-2026 prioriterade fågelarter.docx", "A 35032-2026")</f>
        <v/>
      </c>
    </row>
    <row r="9" ht="15" customHeight="1">
      <c r="A9" t="inlineStr">
        <is>
          <t>A 56879-2023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45244</v>
      </c>
      <c r="E9" s="1" t="n">
        <v>46326</v>
      </c>
      <c r="F9" t="inlineStr">
        <is>
          <t>ÖSTERGÖTLANDS LÄN</t>
        </is>
      </c>
      <c r="G9" t="inlineStr">
        <is>
          <t>SÖDERKÖPING</t>
        </is>
      </c>
      <c r="I9" t="n">
        <v>1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5</v>
      </c>
      <c r="T9" t="n">
        <v>5</v>
      </c>
      <c r="U9" t="n">
        <v>0</v>
      </c>
      <c r="V9" s="2" t="inlineStr">
        <is>
          <t>Gammelekslav
Gul dropplav
Grå skärelav
Gulpudrad spiklav
Rostfläck</t>
        </is>
      </c>
      <c r="W9">
        <f>HYPERLINK("https://klasma.github.io/Logging_0582/artfynd/A 56879-2023 artfynd.xlsx", "A 56879-2023")</f>
        <v/>
      </c>
      <c r="X9">
        <f>HYPERLINK("https://klasma.github.io/Logging_0582/kartor/A 56879-2023 karta.png", "A 56879-2023")</f>
        <v/>
      </c>
      <c r="Y9">
        <f>HYPERLINK("https://klasma.github.io/Logging_0582/kartor_geotiff/A 56879-2023 georefererad karta.tif", "A 56879-2023")</f>
        <v/>
      </c>
      <c r="AA9">
        <f>HYPERLINK("https://klasma.github.io/Logging_0582/klagomål/A 56879-2023 FSC-klagomål.docx", "A 56879-2023")</f>
        <v/>
      </c>
      <c r="AB9">
        <f>HYPERLINK("https://klasma.github.io/Logging_0582/klagomålsmail/A 56879-2023 FSC-klagomål mail.docx", "A 56879-2023")</f>
        <v/>
      </c>
      <c r="AC9">
        <f>HYPERLINK("https://klasma.github.io/Logging_0582/tillsyn/A 56879-2023 tillsynsbegäran.docx", "A 56879-2023")</f>
        <v/>
      </c>
      <c r="AD9">
        <f>HYPERLINK("https://klasma.github.io/Logging_0582/tillsynsmail/A 56879-2023 tillsynsbegäran mail.docx", "A 56879-2023")</f>
        <v/>
      </c>
    </row>
    <row r="10" ht="15" customHeight="1">
      <c r="A10" t="inlineStr">
        <is>
          <t>A 23100-2026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46161</v>
      </c>
      <c r="E10" s="1" t="n">
        <v>46326</v>
      </c>
      <c r="F10" t="inlineStr">
        <is>
          <t>ÖSTERGÖTLANDS LÄN</t>
        </is>
      </c>
      <c r="G10" t="inlineStr">
        <is>
          <t>SÖDERKÖPING</t>
        </is>
      </c>
      <c r="H10" t="inlineStr">
        <is>
          <t>Holmen skog AB</t>
        </is>
      </c>
      <c r="I10" t="n">
        <v>1.4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2</v>
      </c>
      <c r="R10" t="n">
        <v>1</v>
      </c>
      <c r="S10" t="n">
        <v>5</v>
      </c>
      <c r="T10" t="n">
        <v>8</v>
      </c>
      <c r="U10" t="n">
        <v>6</v>
      </c>
      <c r="V10" s="2" t="inlineStr">
        <is>
          <t>Hyacintvaxskivling
Kattfotslav
Brandticka
Glansfläck
Skriftlav</t>
        </is>
      </c>
      <c r="W10">
        <f>HYPERLINK("https://klasma.github.io/Logging_0582/artfynd/A 23100-2026 artfynd.xlsx", "A 23100-2026")</f>
        <v/>
      </c>
      <c r="X10">
        <f>HYPERLINK("https://klasma.github.io/Logging_0582/kartor/A 23100-2026 karta.png", "A 23100-2026")</f>
        <v/>
      </c>
      <c r="Y10">
        <f>HYPERLINK("https://klasma.github.io/Logging_0582/kartor_geotiff/A 23100-2026 georefererad karta.tif", "A 23100-2026")</f>
        <v/>
      </c>
      <c r="AA10">
        <f>HYPERLINK("https://klasma.github.io/Logging_0582/klagomål/A 23100-2026 FSC-klagomål.docx", "A 23100-2026")</f>
        <v/>
      </c>
      <c r="AB10">
        <f>HYPERLINK("https://klasma.github.io/Logging_0582/klagomålsmail/A 23100-2026 FSC-klagomål mail.docx", "A 23100-2026")</f>
        <v/>
      </c>
      <c r="AC10">
        <f>HYPERLINK("https://klasma.github.io/Logging_0582/tillsyn/A 23100-2026 tillsynsbegäran.docx", "A 23100-2026")</f>
        <v/>
      </c>
      <c r="AD10">
        <f>HYPERLINK("https://klasma.github.io/Logging_0582/tillsynsmail/A 23100-2026 tillsynsbegäran mail.docx", "A 23100-2026")</f>
        <v/>
      </c>
    </row>
    <row r="11" ht="15" customHeight="1">
      <c r="A11" t="inlineStr">
        <is>
          <t>A 35034-2026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46259</v>
      </c>
      <c r="E11" s="1" t="n">
        <v>46326</v>
      </c>
      <c r="F11" t="inlineStr">
        <is>
          <t>ÖSTERGÖTLANDS LÄN</t>
        </is>
      </c>
      <c r="G11" t="inlineStr">
        <is>
          <t>SÖDERKÖPING</t>
        </is>
      </c>
      <c r="H11" t="inlineStr">
        <is>
          <t>Allmännings- och besparingsskogar</t>
        </is>
      </c>
      <c r="I11" t="n">
        <v>1.1</v>
      </c>
      <c r="J11" t="n">
        <v>3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5</v>
      </c>
      <c r="T11" t="n">
        <v>5</v>
      </c>
      <c r="U11" t="n">
        <v>5</v>
      </c>
      <c r="V11" s="2" t="inlineStr">
        <is>
          <t>Talltita
Blåmossa
Mindre märgborre
Spillkråka
Tjäder</t>
        </is>
      </c>
      <c r="W11">
        <f>HYPERLINK("https://klasma.github.io/Logging_0582/artfynd/A 35034-2026 artfynd.xlsx", "A 35034-2026")</f>
        <v/>
      </c>
      <c r="X11">
        <f>HYPERLINK("https://klasma.github.io/Logging_0582/kartor/A 35034-2026 karta.png", "A 35034-2026")</f>
        <v/>
      </c>
      <c r="Y11">
        <f>HYPERLINK("https://klasma.github.io/Logging_0582/kartor_geotiff/A 35034-2026 georefererad karta.tif", "A 35034-2026")</f>
        <v/>
      </c>
      <c r="AA11">
        <f>HYPERLINK("https://klasma.github.io/Logging_0582/klagomål/A 35034-2026 FSC-klagomål.docx", "A 35034-2026")</f>
        <v/>
      </c>
      <c r="AB11">
        <f>HYPERLINK("https://klasma.github.io/Logging_0582/klagomålsmail/A 35034-2026 FSC-klagomål mail.docx", "A 35034-2026")</f>
        <v/>
      </c>
      <c r="AC11">
        <f>HYPERLINK("https://klasma.github.io/Logging_0582/tillsyn/A 35034-2026 tillsynsbegäran.docx", "A 35034-2026")</f>
        <v/>
      </c>
      <c r="AD11">
        <f>HYPERLINK("https://klasma.github.io/Logging_0582/tillsynsmail/A 35034-2026 tillsynsbegäran mail.docx", "A 35034-2026")</f>
        <v/>
      </c>
      <c r="AE11">
        <f>HYPERLINK("https://klasma.github.io/Logging_0582/fåglar/A 35034-2026 prioriterade fågelarter.docx", "A 35034-2026")</f>
        <v/>
      </c>
    </row>
    <row r="12" ht="15" customHeight="1">
      <c r="A12" t="inlineStr">
        <is>
          <t>S 4651-2024</t>
        </is>
      </c>
      <c r="B12" t="inlineStr">
        <is>
          <t>samrådsanmälan</t>
        </is>
      </c>
      <c r="C12" t="inlineStr">
        <is>
          <t>Åtgärd i nyckelbiotop</t>
        </is>
      </c>
      <c r="D12" s="1" t="n">
        <v>45569</v>
      </c>
      <c r="E12" s="1" t="n">
        <v>46326</v>
      </c>
      <c r="F12" t="inlineStr">
        <is>
          <t>ÖSTERGÖTLANDS LÄN</t>
        </is>
      </c>
      <c r="G12" t="inlineStr">
        <is>
          <t>SÖDERKÖPING</t>
        </is>
      </c>
      <c r="I12" t="n">
        <v>2.2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6</v>
      </c>
      <c r="U12" t="n">
        <v>6</v>
      </c>
      <c r="V12" s="2" t="inlineStr">
        <is>
          <t>Gråvaxing
Hagfingersvamp
Papegojvaxing
Slemvaxing
Vitvaxing agg.</t>
        </is>
      </c>
      <c r="W12">
        <f>HYPERLINK("https://klasma.github.io/Logging_0582/artfynd/S 4651-2024 artfynd.xlsx", "S 4651-2024")</f>
        <v/>
      </c>
      <c r="X12">
        <f>HYPERLINK("https://klasma.github.io/Logging_0582/kartor/S 4651-2024 karta.png", "S 4651-2024")</f>
        <v/>
      </c>
      <c r="Y12">
        <f>HYPERLINK("https://klasma.github.io/Logging_0582/kartor_geotiff/S 4651-2024 georefererad karta.tif", "S 4651-2024")</f>
        <v/>
      </c>
      <c r="AA12">
        <f>HYPERLINK("https://klasma.github.io/Logging_0582/klagomål/S 4651-2024 FSC-klagomål.docx", "S 4651-2024")</f>
        <v/>
      </c>
      <c r="AB12">
        <f>HYPERLINK("https://klasma.github.io/Logging_0582/klagomålsmail/S 4651-2024 FSC-klagomål mail.docx", "S 4651-2024")</f>
        <v/>
      </c>
      <c r="AC12">
        <f>HYPERLINK("https://klasma.github.io/Logging_0582/tillsyn/S 4651-2024 tillsynsbegäran.docx", "S 4651-2024")</f>
        <v/>
      </c>
      <c r="AD12">
        <f>HYPERLINK("https://klasma.github.io/Logging_0582/tillsynsmail/S 4651-2024 tillsynsbegäran mail.docx", "S 4651-2024")</f>
        <v/>
      </c>
    </row>
    <row r="13" ht="15" customHeight="1">
      <c r="A13" t="inlineStr">
        <is>
          <t>S 1541-2026</t>
        </is>
      </c>
      <c r="B13" t="inlineStr">
        <is>
          <t>samrådsanmälan</t>
        </is>
      </c>
      <c r="C13" t="inlineStr">
        <is>
          <t>Annan skogsbruksåtgärd</t>
        </is>
      </c>
      <c r="D13" s="1" t="n">
        <v>46168</v>
      </c>
      <c r="E13" s="1" t="n">
        <v>46326</v>
      </c>
      <c r="F13" t="inlineStr">
        <is>
          <t>ÖSTERGÖTLANDS LÄN</t>
        </is>
      </c>
      <c r="G13" t="inlineStr">
        <is>
          <t>SÖDERKÖPING</t>
        </is>
      </c>
      <c r="I13" t="n">
        <v>10.4</v>
      </c>
      <c r="J13" t="n">
        <v>1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5</v>
      </c>
      <c r="T13" t="n">
        <v>7</v>
      </c>
      <c r="U13" t="n">
        <v>0</v>
      </c>
      <c r="V13" s="2" t="inlineStr">
        <is>
          <t>Ekpricklav
Lunglav
Större borstspinnare
Trollspinnare
Blåsippa</t>
        </is>
      </c>
      <c r="W13">
        <f>HYPERLINK("https://klasma.github.io/Logging_0582/artfynd/S 1541-2026 artfynd.xlsx", "S 1541-2026")</f>
        <v/>
      </c>
      <c r="X13">
        <f>HYPERLINK("https://klasma.github.io/Logging_0582/kartor/S 1541-2026 karta.png", "S 1541-2026")</f>
        <v/>
      </c>
      <c r="Y13">
        <f>HYPERLINK("https://klasma.github.io/Logging_0582/kartor_geotiff/S 1541-2026 georefererad karta.tif", "S 1541-2026")</f>
        <v/>
      </c>
      <c r="AA13">
        <f>HYPERLINK("https://klasma.github.io/Logging_0582/klagomål/S 1541-2026 FSC-klagomål.docx", "S 1541-2026")</f>
        <v/>
      </c>
      <c r="AB13">
        <f>HYPERLINK("https://klasma.github.io/Logging_0582/klagomålsmail/S 1541-2026 FSC-klagomål mail.docx", "S 1541-2026")</f>
        <v/>
      </c>
      <c r="AC13">
        <f>HYPERLINK("https://klasma.github.io/Logging_0582/tillsyn/S 1541-2026 tillsynsbegäran.docx", "S 1541-2026")</f>
        <v/>
      </c>
      <c r="AD13">
        <f>HYPERLINK("https://klasma.github.io/Logging_0582/tillsynsmail/S 1541-2026 tillsynsbegäran mail.docx", "S 1541-2026")</f>
        <v/>
      </c>
    </row>
    <row r="14" ht="15" customHeight="1">
      <c r="A14" t="inlineStr">
        <is>
          <t>A 26935-2026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46185</v>
      </c>
      <c r="E14" s="1" t="n">
        <v>46326</v>
      </c>
      <c r="F14" t="inlineStr">
        <is>
          <t>ÖSTERGÖTLANDS LÄN</t>
        </is>
      </c>
      <c r="G14" t="inlineStr">
        <is>
          <t>SÖDERKÖPING</t>
        </is>
      </c>
      <c r="H14" t="inlineStr">
        <is>
          <t>Allmännings- och besparingsskogar</t>
        </is>
      </c>
      <c r="I14" t="n">
        <v>0.8</v>
      </c>
      <c r="J14" t="n">
        <v>2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4</v>
      </c>
      <c r="T14" t="n">
        <v>4</v>
      </c>
      <c r="U14" t="n">
        <v>1</v>
      </c>
      <c r="V14" s="2" t="inlineStr">
        <is>
          <t>Gyllensopp
Persiljespindling
Vanlig groda
Vanlig padda</t>
        </is>
      </c>
      <c r="W14">
        <f>HYPERLINK("https://klasma.github.io/Logging_0582/artfynd/A 26935-2026 artfynd.xlsx", "A 26935-2026")</f>
        <v/>
      </c>
      <c r="X14">
        <f>HYPERLINK("https://klasma.github.io/Logging_0582/kartor/A 26935-2026 karta.png", "A 26935-2026")</f>
        <v/>
      </c>
      <c r="Y14">
        <f>HYPERLINK("https://klasma.github.io/Logging_0582/kartor_geotiff/A 26935-2026 georefererad karta.tif", "A 26935-2026")</f>
        <v/>
      </c>
      <c r="AA14">
        <f>HYPERLINK("https://klasma.github.io/Logging_0582/klagomål/A 26935-2026 FSC-klagomål.docx", "A 26935-2026")</f>
        <v/>
      </c>
      <c r="AB14">
        <f>HYPERLINK("https://klasma.github.io/Logging_0582/klagomålsmail/A 26935-2026 FSC-klagomål mail.docx", "A 26935-2026")</f>
        <v/>
      </c>
      <c r="AC14">
        <f>HYPERLINK("https://klasma.github.io/Logging_0582/tillsyn/A 26935-2026 tillsynsbegäran.docx", "A 26935-2026")</f>
        <v/>
      </c>
      <c r="AD14">
        <f>HYPERLINK("https://klasma.github.io/Logging_0582/tillsynsmail/A 26935-2026 tillsynsbegäran mail.docx", "A 26935-2026")</f>
        <v/>
      </c>
    </row>
    <row r="15" ht="15" customHeight="1">
      <c r="A15" t="inlineStr">
        <is>
          <t>A 7847-2026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46061</v>
      </c>
      <c r="E15" s="1" t="n">
        <v>46326</v>
      </c>
      <c r="F15" t="inlineStr">
        <is>
          <t>ÖSTERGÖTLANDS LÄN</t>
        </is>
      </c>
      <c r="G15" t="inlineStr">
        <is>
          <t>SÖDERKÖPING</t>
        </is>
      </c>
      <c r="I15" t="n">
        <v>2.4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3</v>
      </c>
      <c r="U15" t="n">
        <v>3</v>
      </c>
      <c r="V15" s="2" t="inlineStr">
        <is>
          <t>Ekoxe
Huggorm
Vanlig snok</t>
        </is>
      </c>
      <c r="W15">
        <f>HYPERLINK("https://klasma.github.io/Logging_0582/artfynd/A 7847-2026 artfynd.xlsx", "A 7847-2026")</f>
        <v/>
      </c>
      <c r="X15">
        <f>HYPERLINK("https://klasma.github.io/Logging_0582/kartor/A 7847-2026 karta.png", "A 7847-2026")</f>
        <v/>
      </c>
      <c r="Y15">
        <f>HYPERLINK("https://klasma.github.io/Logging_0582/kartor_geotiff/A 7847-2026 georefererad karta.tif", "A 7847-2026")</f>
        <v/>
      </c>
      <c r="AA15">
        <f>HYPERLINK("https://klasma.github.io/Logging_0582/klagomål/A 7847-2026 FSC-klagomål.docx", "A 7847-2026")</f>
        <v/>
      </c>
      <c r="AB15">
        <f>HYPERLINK("https://klasma.github.io/Logging_0582/klagomålsmail/A 7847-2026 FSC-klagomål mail.docx", "A 7847-2026")</f>
        <v/>
      </c>
      <c r="AC15">
        <f>HYPERLINK("https://klasma.github.io/Logging_0582/tillsyn/A 7847-2026 tillsynsbegäran.docx", "A 7847-2026")</f>
        <v/>
      </c>
      <c r="AD15">
        <f>HYPERLINK("https://klasma.github.io/Logging_0582/tillsynsmail/A 7847-2026 tillsynsbegäran mail.docx", "A 7847-2026")</f>
        <v/>
      </c>
    </row>
    <row r="16" ht="15" customHeight="1">
      <c r="A16" t="inlineStr">
        <is>
          <t>A 30438-2022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44761</v>
      </c>
      <c r="E16" s="1" t="n">
        <v>46326</v>
      </c>
      <c r="F16" t="inlineStr">
        <is>
          <t>ÖSTERGÖTLANDS LÄN</t>
        </is>
      </c>
      <c r="G16" t="inlineStr">
        <is>
          <t>SÖDERKÖPING</t>
        </is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3</v>
      </c>
      <c r="U16" t="n">
        <v>0</v>
      </c>
      <c r="V16" s="2" t="inlineStr">
        <is>
          <t>Nordfladdermus
Dvärgpipistrell
Större brunfladdermus</t>
        </is>
      </c>
      <c r="W16">
        <f>HYPERLINK("https://klasma.github.io/Logging_0582/artfynd/A 30438-2022 artfynd.xlsx", "A 30438-2022")</f>
        <v/>
      </c>
      <c r="X16">
        <f>HYPERLINK("https://klasma.github.io/Logging_0582/kartor/A 30438-2022 karta.png", "A 30438-2022")</f>
        <v/>
      </c>
      <c r="Y16">
        <f>HYPERLINK("https://klasma.github.io/Logging_0582/kartor_geotiff/A 30438-2022 georefererad karta.tif", "A 30438-2022")</f>
        <v/>
      </c>
      <c r="AA16">
        <f>HYPERLINK("https://klasma.github.io/Logging_0582/klagomål/A 30438-2022 FSC-klagomål.docx", "A 30438-2022")</f>
        <v/>
      </c>
      <c r="AB16">
        <f>HYPERLINK("https://klasma.github.io/Logging_0582/klagomålsmail/A 30438-2022 FSC-klagomål mail.docx", "A 30438-2022")</f>
        <v/>
      </c>
      <c r="AC16">
        <f>HYPERLINK("https://klasma.github.io/Logging_0582/tillsyn/A 30438-2022 tillsynsbegäran.docx", "A 30438-2022")</f>
        <v/>
      </c>
      <c r="AD16">
        <f>HYPERLINK("https://klasma.github.io/Logging_0582/tillsynsmail/A 30438-2022 tillsynsbegäran mail.docx", "A 30438-2022")</f>
        <v/>
      </c>
    </row>
    <row r="17" ht="15" customHeight="1">
      <c r="A17" t="inlineStr">
        <is>
          <t>A 23756-2026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46164</v>
      </c>
      <c r="E17" s="1" t="n">
        <v>46326</v>
      </c>
      <c r="F17" t="inlineStr">
        <is>
          <t>ÖSTERGÖTLANDS LÄN</t>
        </is>
      </c>
      <c r="G17" t="inlineStr">
        <is>
          <t>SÖDERKÖPING</t>
        </is>
      </c>
      <c r="H17" t="inlineStr">
        <is>
          <t>Holmen skog AB</t>
        </is>
      </c>
      <c r="I17" t="n">
        <v>2.3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</v>
      </c>
      <c r="T17" t="n">
        <v>7</v>
      </c>
      <c r="U17" t="n">
        <v>0</v>
      </c>
      <c r="V17" s="2" t="inlineStr">
        <is>
          <t>Vedskivlav
Blompraktbagge
Tjäder</t>
        </is>
      </c>
      <c r="W17">
        <f>HYPERLINK("https://klasma.github.io/Logging_0582/artfynd/A 23756-2026 artfynd.xlsx", "A 23756-2026")</f>
        <v/>
      </c>
      <c r="X17">
        <f>HYPERLINK("https://klasma.github.io/Logging_0582/kartor/A 23756-2026 karta.png", "A 23756-2026")</f>
        <v/>
      </c>
      <c r="Y17">
        <f>HYPERLINK("https://klasma.github.io/Logging_0582/kartor_geotiff/A 23756-2026 georefererad karta.tif", "A 23756-2026")</f>
        <v/>
      </c>
      <c r="AA17">
        <f>HYPERLINK("https://klasma.github.io/Logging_0582/klagomål/A 23756-2026 FSC-klagomål.docx", "A 23756-2026")</f>
        <v/>
      </c>
      <c r="AB17">
        <f>HYPERLINK("https://klasma.github.io/Logging_0582/klagomålsmail/A 23756-2026 FSC-klagomål mail.docx", "A 23756-2026")</f>
        <v/>
      </c>
      <c r="AC17">
        <f>HYPERLINK("https://klasma.github.io/Logging_0582/tillsyn/A 23756-2026 tillsynsbegäran.docx", "A 23756-2026")</f>
        <v/>
      </c>
      <c r="AD17">
        <f>HYPERLINK("https://klasma.github.io/Logging_0582/tillsynsmail/A 23756-2026 tillsynsbegäran mail.docx", "A 23756-2026")</f>
        <v/>
      </c>
      <c r="AE17">
        <f>HYPERLINK("https://klasma.github.io/Logging_0582/fåglar/A 23756-2026 prioriterade fågelarter.docx", "A 23756-2026")</f>
        <v/>
      </c>
    </row>
    <row r="18" ht="15" customHeight="1">
      <c r="A18" t="inlineStr">
        <is>
          <t>A 7879-2023</t>
        </is>
      </c>
      <c r="B18" t="inlineStr">
        <is>
          <t>avverkningsanmälan</t>
        </is>
      </c>
      <c r="C18" t="inlineStr">
        <is>
          <t>Avverkning för att bevara och utveckla /försöksver</t>
        </is>
      </c>
      <c r="D18" s="1" t="n">
        <v>44973</v>
      </c>
      <c r="E18" s="1" t="n">
        <v>46326</v>
      </c>
      <c r="F18" t="inlineStr">
        <is>
          <t>ÖSTERGÖTLANDS LÄN</t>
        </is>
      </c>
      <c r="G18" t="inlineStr">
        <is>
          <t>SÖDERKÖPING</t>
        </is>
      </c>
      <c r="I18" t="n">
        <v>2.4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1</v>
      </c>
      <c r="S18" t="n">
        <v>2</v>
      </c>
      <c r="T18" t="n">
        <v>2</v>
      </c>
      <c r="U18" t="n">
        <v>0</v>
      </c>
      <c r="V18" s="2" t="inlineStr">
        <is>
          <t>Ask
Korskovall</t>
        </is>
      </c>
      <c r="W18">
        <f>HYPERLINK("https://klasma.github.io/Logging_0582/artfynd/A 7879-2023 artfynd.xlsx", "A 7879-2023")</f>
        <v/>
      </c>
      <c r="X18">
        <f>HYPERLINK("https://klasma.github.io/Logging_0582/kartor/A 7879-2023 karta.png", "A 7879-2023")</f>
        <v/>
      </c>
      <c r="Y18">
        <f>HYPERLINK("https://klasma.github.io/Logging_0582/kartor_geotiff/A 7879-2023 georefererad karta.tif", "A 7879-2023")</f>
        <v/>
      </c>
      <c r="AA18">
        <f>HYPERLINK("https://klasma.github.io/Logging_0582/klagomål/A 7879-2023 FSC-klagomål.docx", "A 7879-2023")</f>
        <v/>
      </c>
      <c r="AB18">
        <f>HYPERLINK("https://klasma.github.io/Logging_0582/klagomålsmail/A 7879-2023 FSC-klagomål mail.docx", "A 7879-2023")</f>
        <v/>
      </c>
      <c r="AC18">
        <f>HYPERLINK("https://klasma.github.io/Logging_0582/tillsyn/A 7879-2023 tillsynsbegäran.docx", "A 7879-2023")</f>
        <v/>
      </c>
      <c r="AD18">
        <f>HYPERLINK("https://klasma.github.io/Logging_0582/tillsynsmail/A 7879-2023 tillsynsbegäran mail.docx", "A 7879-2023")</f>
        <v/>
      </c>
    </row>
    <row r="19" ht="15" customHeight="1">
      <c r="A19" t="inlineStr">
        <is>
          <t>A 394-2026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46028</v>
      </c>
      <c r="E19" s="1" t="n">
        <v>46326</v>
      </c>
      <c r="F19" t="inlineStr">
        <is>
          <t>ÖSTERGÖTLANDS LÄN</t>
        </is>
      </c>
      <c r="G19" t="inlineStr">
        <is>
          <t>SÖDERKÖPING</t>
        </is>
      </c>
      <c r="I19" t="n">
        <v>2.4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Tallticka
Igelkottsröksvamp</t>
        </is>
      </c>
      <c r="W19">
        <f>HYPERLINK("https://klasma.github.io/Logging_0582/artfynd/A 394-2026 artfynd.xlsx", "A 394-2026")</f>
        <v/>
      </c>
      <c r="X19">
        <f>HYPERLINK("https://klasma.github.io/Logging_0582/kartor/A 394-2026 karta.png", "A 394-2026")</f>
        <v/>
      </c>
      <c r="Y19">
        <f>HYPERLINK("https://klasma.github.io/Logging_0582/kartor_geotiff/A 394-2026 georefererad karta.tif", "A 394-2026")</f>
        <v/>
      </c>
      <c r="AA19">
        <f>HYPERLINK("https://klasma.github.io/Logging_0582/klagomål/A 394-2026 FSC-klagomål.docx", "A 394-2026")</f>
        <v/>
      </c>
      <c r="AB19">
        <f>HYPERLINK("https://klasma.github.io/Logging_0582/klagomålsmail/A 394-2026 FSC-klagomål mail.docx", "A 394-2026")</f>
        <v/>
      </c>
      <c r="AC19">
        <f>HYPERLINK("https://klasma.github.io/Logging_0582/tillsyn/A 394-2026 tillsynsbegäran.docx", "A 394-2026")</f>
        <v/>
      </c>
      <c r="AD19">
        <f>HYPERLINK("https://klasma.github.io/Logging_0582/tillsynsmail/A 394-2026 tillsynsbegäran mail.docx", "A 394-2026")</f>
        <v/>
      </c>
    </row>
    <row r="20" ht="15" customHeight="1">
      <c r="A20" t="inlineStr">
        <is>
          <t>A 37183-2025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45875</v>
      </c>
      <c r="E20" s="1" t="n">
        <v>46326</v>
      </c>
      <c r="F20" t="inlineStr">
        <is>
          <t>ÖSTERGÖTLANDS LÄN</t>
        </is>
      </c>
      <c r="G20" t="inlineStr">
        <is>
          <t>SÖDERKÖPING</t>
        </is>
      </c>
      <c r="I20" t="n">
        <v>4.8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2</v>
      </c>
      <c r="V20" s="2" t="inlineStr">
        <is>
          <t>Vedskivlav
Vanlig padda</t>
        </is>
      </c>
      <c r="W20">
        <f>HYPERLINK("https://klasma.github.io/Logging_0582/artfynd/A 37183-2025 artfynd.xlsx", "A 37183-2025")</f>
        <v/>
      </c>
      <c r="X20">
        <f>HYPERLINK("https://klasma.github.io/Logging_0582/kartor/A 37183-2025 karta.png", "A 37183-2025")</f>
        <v/>
      </c>
      <c r="Y20">
        <f>HYPERLINK("https://klasma.github.io/Logging_0582/kartor_geotiff/A 37183-2025 georefererad karta.tif", "A 37183-2025")</f>
        <v/>
      </c>
      <c r="AA20">
        <f>HYPERLINK("https://klasma.github.io/Logging_0582/klagomål/A 37183-2025 FSC-klagomål.docx", "A 37183-2025")</f>
        <v/>
      </c>
      <c r="AB20">
        <f>HYPERLINK("https://klasma.github.io/Logging_0582/klagomålsmail/A 37183-2025 FSC-klagomål mail.docx", "A 37183-2025")</f>
        <v/>
      </c>
      <c r="AC20">
        <f>HYPERLINK("https://klasma.github.io/Logging_0582/tillsyn/A 37183-2025 tillsynsbegäran.docx", "A 37183-2025")</f>
        <v/>
      </c>
      <c r="AD20">
        <f>HYPERLINK("https://klasma.github.io/Logging_0582/tillsynsmail/A 37183-2025 tillsynsbegäran mail.docx", "A 37183-2025")</f>
        <v/>
      </c>
    </row>
    <row r="21" ht="15" customHeight="1">
      <c r="A21" t="inlineStr">
        <is>
          <t>A 21648-2023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45063</v>
      </c>
      <c r="E21" s="1" t="n">
        <v>46326</v>
      </c>
      <c r="F21" t="inlineStr">
        <is>
          <t>ÖSTERGÖTLANDS LÄN</t>
        </is>
      </c>
      <c r="G21" t="inlineStr">
        <is>
          <t>SÖDERKÖPING</t>
        </is>
      </c>
      <c r="I21" t="n">
        <v>3.2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2</v>
      </c>
      <c r="T21" t="n">
        <v>2</v>
      </c>
      <c r="U21" t="n">
        <v>2</v>
      </c>
      <c r="V21" s="2" t="inlineStr">
        <is>
          <t>Hasselsnok
Kopparödla</t>
        </is>
      </c>
      <c r="W21">
        <f>HYPERLINK("https://klasma.github.io/Logging_0582/artfynd/A 21648-2023 artfynd.xlsx", "A 21648-2023")</f>
        <v/>
      </c>
      <c r="X21">
        <f>HYPERLINK("https://klasma.github.io/Logging_0582/kartor/A 21648-2023 karta.png", "A 21648-2023")</f>
        <v/>
      </c>
      <c r="Y21">
        <f>HYPERLINK("https://klasma.github.io/Logging_0582/kartor_geotiff/A 21648-2023 georefererad karta.tif", "A 21648-2023")</f>
        <v/>
      </c>
      <c r="AA21">
        <f>HYPERLINK("https://klasma.github.io/Logging_0582/klagomål/A 21648-2023 FSC-klagomål.docx", "A 21648-2023")</f>
        <v/>
      </c>
      <c r="AB21">
        <f>HYPERLINK("https://klasma.github.io/Logging_0582/klagomålsmail/A 21648-2023 FSC-klagomål mail.docx", "A 21648-2023")</f>
        <v/>
      </c>
      <c r="AC21">
        <f>HYPERLINK("https://klasma.github.io/Logging_0582/tillsyn/A 21648-2023 tillsynsbegäran.docx", "A 21648-2023")</f>
        <v/>
      </c>
      <c r="AD21">
        <f>HYPERLINK("https://klasma.github.io/Logging_0582/tillsynsmail/A 21648-2023 tillsynsbegäran mail.docx", "A 21648-2023")</f>
        <v/>
      </c>
    </row>
    <row r="22" ht="15" customHeight="1">
      <c r="A22" t="inlineStr">
        <is>
          <t>A 21042-2026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46146</v>
      </c>
      <c r="E22" s="1" t="n">
        <v>46326</v>
      </c>
      <c r="F22" t="inlineStr">
        <is>
          <t>ÖSTERGÖTLANDS LÄN</t>
        </is>
      </c>
      <c r="G22" t="inlineStr">
        <is>
          <t>SÖDERKÖPING</t>
        </is>
      </c>
      <c r="I22" t="n">
        <v>0.7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2</v>
      </c>
      <c r="U22" t="n">
        <v>0</v>
      </c>
      <c r="V22" s="2" t="inlineStr">
        <is>
          <t>Gul dropplav
Gulpudrad spiklav</t>
        </is>
      </c>
      <c r="W22">
        <f>HYPERLINK("https://klasma.github.io/Logging_0582/artfynd/A 21042-2026 artfynd.xlsx", "A 21042-2026")</f>
        <v/>
      </c>
      <c r="X22">
        <f>HYPERLINK("https://klasma.github.io/Logging_0582/kartor/A 21042-2026 karta.png", "A 21042-2026")</f>
        <v/>
      </c>
      <c r="Y22">
        <f>HYPERLINK("https://klasma.github.io/Logging_0582/kartor_geotiff/A 21042-2026 georefererad karta.tif", "A 21042-2026")</f>
        <v/>
      </c>
      <c r="AA22">
        <f>HYPERLINK("https://klasma.github.io/Logging_0582/klagomål/A 21042-2026 FSC-klagomål.docx", "A 21042-2026")</f>
        <v/>
      </c>
      <c r="AB22">
        <f>HYPERLINK("https://klasma.github.io/Logging_0582/klagomålsmail/A 21042-2026 FSC-klagomål mail.docx", "A 21042-2026")</f>
        <v/>
      </c>
      <c r="AC22">
        <f>HYPERLINK("https://klasma.github.io/Logging_0582/tillsyn/A 21042-2026 tillsynsbegäran.docx", "A 21042-2026")</f>
        <v/>
      </c>
      <c r="AD22">
        <f>HYPERLINK("https://klasma.github.io/Logging_0582/tillsynsmail/A 21042-2026 tillsynsbegäran mail.docx", "A 21042-2026")</f>
        <v/>
      </c>
    </row>
    <row r="23" ht="15" customHeight="1">
      <c r="A23" t="inlineStr">
        <is>
          <t>A 49366-2023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45211</v>
      </c>
      <c r="E23" s="1" t="n">
        <v>46326</v>
      </c>
      <c r="F23" t="inlineStr">
        <is>
          <t>ÖSTERGÖTLANDS LÄN</t>
        </is>
      </c>
      <c r="G23" t="inlineStr">
        <is>
          <t>SÖDERKÖPING</t>
        </is>
      </c>
      <c r="I23" t="n">
        <v>2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2</v>
      </c>
      <c r="U23" t="n">
        <v>0</v>
      </c>
      <c r="V23" s="2" t="inlineStr">
        <is>
          <t>Krusfrö
Sångsvan</t>
        </is>
      </c>
      <c r="W23">
        <f>HYPERLINK("https://klasma.github.io/Logging_0582/artfynd/A 49366-2023 artfynd.xlsx", "A 49366-2023")</f>
        <v/>
      </c>
      <c r="X23">
        <f>HYPERLINK("https://klasma.github.io/Logging_0582/kartor/A 49366-2023 karta.png", "A 49366-2023")</f>
        <v/>
      </c>
      <c r="Y23">
        <f>HYPERLINK("https://klasma.github.io/Logging_0582/kartor_geotiff/A 49366-2023 georefererad karta.tif", "A 49366-2023")</f>
        <v/>
      </c>
      <c r="AA23">
        <f>HYPERLINK("https://klasma.github.io/Logging_0582/klagomål/A 49366-2023 FSC-klagomål.docx", "A 49366-2023")</f>
        <v/>
      </c>
      <c r="AB23">
        <f>HYPERLINK("https://klasma.github.io/Logging_0582/klagomålsmail/A 49366-2023 FSC-klagomål mail.docx", "A 49366-2023")</f>
        <v/>
      </c>
      <c r="AC23">
        <f>HYPERLINK("https://klasma.github.io/Logging_0582/tillsyn/A 49366-2023 tillsynsbegäran.docx", "A 49366-2023")</f>
        <v/>
      </c>
      <c r="AD23">
        <f>HYPERLINK("https://klasma.github.io/Logging_0582/tillsynsmail/A 49366-2023 tillsynsbegäran mail.docx", "A 49366-2023")</f>
        <v/>
      </c>
      <c r="AE23">
        <f>HYPERLINK("https://klasma.github.io/Logging_0582/fåglar/A 49366-2023 prioriterade fågelarter.docx", "A 49366-2023")</f>
        <v/>
      </c>
    </row>
    <row r="24" ht="15" customHeight="1">
      <c r="A24" t="inlineStr">
        <is>
          <t>S 2274-2025</t>
        </is>
      </c>
      <c r="B24" t="inlineStr">
        <is>
          <t>samrådsanmälan</t>
        </is>
      </c>
      <c r="C24" t="inlineStr">
        <is>
          <t>Annan skogsbruksåtgärd</t>
        </is>
      </c>
      <c r="D24" s="1" t="n">
        <v>45875</v>
      </c>
      <c r="E24" s="1" t="n">
        <v>46326</v>
      </c>
      <c r="F24" t="inlineStr">
        <is>
          <t>ÖSTERGÖTLANDS LÄN</t>
        </is>
      </c>
      <c r="G24" t="inlineStr">
        <is>
          <t>SÖDERKÖPING</t>
        </is>
      </c>
      <c r="I24" t="n">
        <v>3.1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2</v>
      </c>
      <c r="U24" t="n">
        <v>2</v>
      </c>
      <c r="V24" s="2" t="inlineStr">
        <is>
          <t>Vedskivlav
Vanlig padda</t>
        </is>
      </c>
      <c r="W24">
        <f>HYPERLINK("https://klasma.github.io/Logging_0582/artfynd/S 2274-2025 artfynd.xlsx", "S 2274-2025")</f>
        <v/>
      </c>
      <c r="X24">
        <f>HYPERLINK("https://klasma.github.io/Logging_0582/kartor/S 2274-2025 karta.png", "S 2274-2025")</f>
        <v/>
      </c>
      <c r="Y24">
        <f>HYPERLINK("https://klasma.github.io/Logging_0582/kartor_geotiff/S 2274-2025 georefererad karta.tif", "S 2274-2025")</f>
        <v/>
      </c>
      <c r="AA24">
        <f>HYPERLINK("https://klasma.github.io/Logging_0582/klagomål/S 2274-2025 FSC-klagomål.docx", "S 2274-2025")</f>
        <v/>
      </c>
      <c r="AB24">
        <f>HYPERLINK("https://klasma.github.io/Logging_0582/klagomålsmail/S 2274-2025 FSC-klagomål mail.docx", "S 2274-2025")</f>
        <v/>
      </c>
      <c r="AC24">
        <f>HYPERLINK("https://klasma.github.io/Logging_0582/tillsyn/S 2274-2025 tillsynsbegäran.docx", "S 2274-2025")</f>
        <v/>
      </c>
      <c r="AD24">
        <f>HYPERLINK("https://klasma.github.io/Logging_0582/tillsynsmail/S 2274-2025 tillsynsbegäran mail.docx", "S 2274-2025")</f>
        <v/>
      </c>
    </row>
    <row r="25" ht="15" customHeight="1">
      <c r="A25" t="inlineStr">
        <is>
          <t>A 45130-2022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44841</v>
      </c>
      <c r="E25" s="1" t="n">
        <v>46326</v>
      </c>
      <c r="F25" t="inlineStr">
        <is>
          <t>ÖSTERGÖTLANDS LÄN</t>
        </is>
      </c>
      <c r="G25" t="inlineStr">
        <is>
          <t>SÖDERKÖPING</t>
        </is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s="2" t="inlineStr">
        <is>
          <t>Tallharticka</t>
        </is>
      </c>
      <c r="W25">
        <f>HYPERLINK("https://klasma.github.io/Logging_0582/artfynd/A 45130-2022 artfynd.xlsx", "A 45130-2022")</f>
        <v/>
      </c>
      <c r="X25">
        <f>HYPERLINK("https://klasma.github.io/Logging_0582/kartor/A 45130-2022 karta.png", "A 45130-2022")</f>
        <v/>
      </c>
      <c r="Y25">
        <f>HYPERLINK("https://klasma.github.io/Logging_0582/kartor_geotiff/A 45130-2022 georefererad karta.tif", "A 45130-2022")</f>
        <v/>
      </c>
      <c r="AA25">
        <f>HYPERLINK("https://klasma.github.io/Logging_0582/klagomål/A 45130-2022 FSC-klagomål.docx", "A 45130-2022")</f>
        <v/>
      </c>
      <c r="AB25">
        <f>HYPERLINK("https://klasma.github.io/Logging_0582/klagomålsmail/A 45130-2022 FSC-klagomål mail.docx", "A 45130-2022")</f>
        <v/>
      </c>
      <c r="AC25">
        <f>HYPERLINK("https://klasma.github.io/Logging_0582/tillsyn/A 45130-2022 tillsynsbegäran.docx", "A 45130-2022")</f>
        <v/>
      </c>
      <c r="AD25">
        <f>HYPERLINK("https://klasma.github.io/Logging_0582/tillsynsmail/A 45130-2022 tillsynsbegäran mail.docx", "A 45130-2022")</f>
        <v/>
      </c>
    </row>
    <row r="26" ht="15" customHeight="1">
      <c r="A26" t="inlineStr">
        <is>
          <t>A 354-2024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45295</v>
      </c>
      <c r="E26" s="1" t="n">
        <v>46326</v>
      </c>
      <c r="F26" t="inlineStr">
        <is>
          <t>ÖSTERGÖTLANDS LÄN</t>
        </is>
      </c>
      <c r="G26" t="inlineStr">
        <is>
          <t>SÖDERKÖPING</t>
        </is>
      </c>
      <c r="I26" t="n">
        <v>10.2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2</v>
      </c>
      <c r="U26" t="n">
        <v>0</v>
      </c>
      <c r="V26" s="2" t="inlineStr">
        <is>
          <t>Rödlånke</t>
        </is>
      </c>
      <c r="W26">
        <f>HYPERLINK("https://klasma.github.io/Logging_0582/artfynd/A 354-2024 artfynd.xlsx", "A 354-2024")</f>
        <v/>
      </c>
      <c r="X26">
        <f>HYPERLINK("https://klasma.github.io/Logging_0582/kartor/A 354-2024 karta.png", "A 354-2024")</f>
        <v/>
      </c>
      <c r="Y26">
        <f>HYPERLINK("https://klasma.github.io/Logging_0582/kartor_geotiff/A 354-2024 georefererad karta.tif", "A 354-2024")</f>
        <v/>
      </c>
      <c r="AA26">
        <f>HYPERLINK("https://klasma.github.io/Logging_0582/klagomål/A 354-2024 FSC-klagomål.docx", "A 354-2024")</f>
        <v/>
      </c>
      <c r="AB26">
        <f>HYPERLINK("https://klasma.github.io/Logging_0582/klagomålsmail/A 354-2024 FSC-klagomål mail.docx", "A 354-2024")</f>
        <v/>
      </c>
      <c r="AC26">
        <f>HYPERLINK("https://klasma.github.io/Logging_0582/tillsyn/A 354-2024 tillsynsbegäran.docx", "A 354-2024")</f>
        <v/>
      </c>
      <c r="AD26">
        <f>HYPERLINK("https://klasma.github.io/Logging_0582/tillsynsmail/A 354-2024 tillsynsbegäran mail.docx", "A 354-2024")</f>
        <v/>
      </c>
    </row>
    <row r="27" ht="15" customHeight="1">
      <c r="A27" t="inlineStr">
        <is>
          <t>A 8156-2023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44974</v>
      </c>
      <c r="E27" s="1" t="n">
        <v>46326</v>
      </c>
      <c r="F27" t="inlineStr">
        <is>
          <t>ÖSTERGÖTLANDS LÄN</t>
        </is>
      </c>
      <c r="G27" t="inlineStr">
        <is>
          <t>SÖDERKÖPING</t>
        </is>
      </c>
      <c r="I27" t="n">
        <v>0.7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s="2" t="inlineStr">
        <is>
          <t>Hasselsnok</t>
        </is>
      </c>
      <c r="W27">
        <f>HYPERLINK("https://klasma.github.io/Logging_0582/artfynd/A 8156-2023 artfynd.xlsx", "A 8156-2023")</f>
        <v/>
      </c>
      <c r="X27">
        <f>HYPERLINK("https://klasma.github.io/Logging_0582/kartor/A 8156-2023 karta.png", "A 8156-2023")</f>
        <v/>
      </c>
      <c r="Y27">
        <f>HYPERLINK("https://klasma.github.io/Logging_0582/kartor_geotiff/A 8156-2023 georefererad karta.tif", "A 8156-2023")</f>
        <v/>
      </c>
      <c r="AA27">
        <f>HYPERLINK("https://klasma.github.io/Logging_0582/klagomål/A 8156-2023 FSC-klagomål.docx", "A 8156-2023")</f>
        <v/>
      </c>
      <c r="AB27">
        <f>HYPERLINK("https://klasma.github.io/Logging_0582/klagomålsmail/A 8156-2023 FSC-klagomål mail.docx", "A 8156-2023")</f>
        <v/>
      </c>
      <c r="AC27">
        <f>HYPERLINK("https://klasma.github.io/Logging_0582/tillsyn/A 8156-2023 tillsynsbegäran.docx", "A 8156-2023")</f>
        <v/>
      </c>
      <c r="AD27">
        <f>HYPERLINK("https://klasma.github.io/Logging_0582/tillsynsmail/A 8156-2023 tillsynsbegäran mail.docx", "A 8156-2023")</f>
        <v/>
      </c>
    </row>
    <row r="28" ht="15" customHeight="1">
      <c r="A28" t="inlineStr">
        <is>
          <t>A 28549-2024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45478</v>
      </c>
      <c r="E28" s="1" t="n">
        <v>46326</v>
      </c>
      <c r="F28" t="inlineStr">
        <is>
          <t>ÖSTERGÖTLANDS LÄN</t>
        </is>
      </c>
      <c r="G28" t="inlineStr">
        <is>
          <t>SÖDERKÖPING</t>
        </is>
      </c>
      <c r="I28" t="n">
        <v>0.6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Vippärt</t>
        </is>
      </c>
      <c r="W28">
        <f>HYPERLINK("https://klasma.github.io/Logging_0582/artfynd/A 28549-2024 artfynd.xlsx", "A 28549-2024")</f>
        <v/>
      </c>
      <c r="X28">
        <f>HYPERLINK("https://klasma.github.io/Logging_0582/kartor/A 28549-2024 karta.png", "A 28549-2024")</f>
        <v/>
      </c>
      <c r="Y28">
        <f>HYPERLINK("https://klasma.github.io/Logging_0582/kartor_geotiff/A 28549-2024 georefererad karta.tif", "A 28549-2024")</f>
        <v/>
      </c>
      <c r="AA28">
        <f>HYPERLINK("https://klasma.github.io/Logging_0582/klagomål/A 28549-2024 FSC-klagomål.docx", "A 28549-2024")</f>
        <v/>
      </c>
      <c r="AB28">
        <f>HYPERLINK("https://klasma.github.io/Logging_0582/klagomålsmail/A 28549-2024 FSC-klagomål mail.docx", "A 28549-2024")</f>
        <v/>
      </c>
      <c r="AC28">
        <f>HYPERLINK("https://klasma.github.io/Logging_0582/tillsyn/A 28549-2024 tillsynsbegäran.docx", "A 28549-2024")</f>
        <v/>
      </c>
      <c r="AD28">
        <f>HYPERLINK("https://klasma.github.io/Logging_0582/tillsynsmail/A 28549-2024 tillsynsbegäran mail.docx", "A 28549-2024")</f>
        <v/>
      </c>
    </row>
    <row r="29" ht="15" customHeight="1">
      <c r="A29" t="inlineStr">
        <is>
          <t>A 10992-2026</t>
        </is>
      </c>
      <c r="B29" t="inlineStr">
        <is>
          <t>avverkningsanmälan</t>
        </is>
      </c>
      <c r="C29" t="inlineStr">
        <is>
          <t>Avverkning för att bevara och utveckla /försöksver</t>
        </is>
      </c>
      <c r="D29" s="1" t="n">
        <v>46079</v>
      </c>
      <c r="E29" s="1" t="n">
        <v>46326</v>
      </c>
      <c r="F29" t="inlineStr">
        <is>
          <t>ÖSTERGÖTLANDS LÄN</t>
        </is>
      </c>
      <c r="G29" t="inlineStr">
        <is>
          <t>SÖDERKÖPING</t>
        </is>
      </c>
      <c r="H29" t="inlineStr">
        <is>
          <t>Kyrkan</t>
        </is>
      </c>
      <c r="I29" t="n">
        <v>5.9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3</v>
      </c>
      <c r="U29" t="n">
        <v>0</v>
      </c>
      <c r="V29" s="2" t="inlineStr">
        <is>
          <t>Ask</t>
        </is>
      </c>
      <c r="W29">
        <f>HYPERLINK("https://klasma.github.io/Logging_0582/artfynd/A 10992-2026 artfynd.xlsx", "A 10992-2026")</f>
        <v/>
      </c>
      <c r="X29">
        <f>HYPERLINK("https://klasma.github.io/Logging_0582/kartor/A 10992-2026 karta.png", "A 10992-2026")</f>
        <v/>
      </c>
      <c r="Y29">
        <f>HYPERLINK("https://klasma.github.io/Logging_0582/kartor_geotiff/A 10992-2026 georefererad karta.tif", "A 10992-2026")</f>
        <v/>
      </c>
      <c r="AA29">
        <f>HYPERLINK("https://klasma.github.io/Logging_0582/klagomål/A 10992-2026 FSC-klagomål.docx", "A 10992-2026")</f>
        <v/>
      </c>
      <c r="AB29">
        <f>HYPERLINK("https://klasma.github.io/Logging_0582/klagomålsmail/A 10992-2026 FSC-klagomål mail.docx", "A 10992-2026")</f>
        <v/>
      </c>
      <c r="AC29">
        <f>HYPERLINK("https://klasma.github.io/Logging_0582/tillsyn/A 10992-2026 tillsynsbegäran.docx", "A 10992-2026")</f>
        <v/>
      </c>
      <c r="AD29">
        <f>HYPERLINK("https://klasma.github.io/Logging_0582/tillsynsmail/A 10992-2026 tillsynsbegäran mail.docx", "A 10992-2026")</f>
        <v/>
      </c>
    </row>
    <row r="30" ht="15" customHeight="1">
      <c r="A30" t="inlineStr">
        <is>
          <t>A 30324-2024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45490</v>
      </c>
      <c r="E30" s="1" t="n">
        <v>46326</v>
      </c>
      <c r="F30" t="inlineStr">
        <is>
          <t>ÖSTERGÖTLANDS LÄN</t>
        </is>
      </c>
      <c r="G30" t="inlineStr">
        <is>
          <t>SÖDERKÖPING</t>
        </is>
      </c>
      <c r="I30" t="n">
        <v>10.9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Nattskärra</t>
        </is>
      </c>
      <c r="W30">
        <f>HYPERLINK("https://klasma.github.io/Logging_0582/artfynd/A 30324-2024 artfynd.xlsx", "A 30324-2024")</f>
        <v/>
      </c>
      <c r="X30">
        <f>HYPERLINK("https://klasma.github.io/Logging_0582/kartor/A 30324-2024 karta.png", "A 30324-2024")</f>
        <v/>
      </c>
      <c r="Y30">
        <f>HYPERLINK("https://klasma.github.io/Logging_0582/kartor_geotiff/A 30324-2024 georefererad karta.tif", "A 30324-2024")</f>
        <v/>
      </c>
      <c r="AA30">
        <f>HYPERLINK("https://klasma.github.io/Logging_0582/klagomål/A 30324-2024 FSC-klagomål.docx", "A 30324-2024")</f>
        <v/>
      </c>
      <c r="AB30">
        <f>HYPERLINK("https://klasma.github.io/Logging_0582/klagomålsmail/A 30324-2024 FSC-klagomål mail.docx", "A 30324-2024")</f>
        <v/>
      </c>
      <c r="AC30">
        <f>HYPERLINK("https://klasma.github.io/Logging_0582/tillsyn/A 30324-2024 tillsynsbegäran.docx", "A 30324-2024")</f>
        <v/>
      </c>
      <c r="AD30">
        <f>HYPERLINK("https://klasma.github.io/Logging_0582/tillsynsmail/A 30324-2024 tillsynsbegäran mail.docx", "A 30324-2024")</f>
        <v/>
      </c>
      <c r="AE30">
        <f>HYPERLINK("https://klasma.github.io/Logging_0582/fåglar/A 30324-2024 prioriterade fågelarter.docx", "A 30324-2024")</f>
        <v/>
      </c>
    </row>
    <row r="31" ht="15" customHeight="1">
      <c r="A31" t="inlineStr">
        <is>
          <t>A 50708-2024</t>
        </is>
      </c>
      <c r="B31" t="inlineStr">
        <is>
          <t>avverkningsanmälan</t>
        </is>
      </c>
      <c r="C31" t="inlineStr">
        <is>
          <t>Avverkning för att bevara och utveckla /försöksver</t>
        </is>
      </c>
      <c r="D31" s="1" t="n">
        <v>45601</v>
      </c>
      <c r="E31" s="1" t="n">
        <v>46326</v>
      </c>
      <c r="F31" t="inlineStr">
        <is>
          <t>ÖSTERGÖTLANDS LÄN</t>
        </is>
      </c>
      <c r="G31" t="inlineStr">
        <is>
          <t>SÖDERKÖPING</t>
        </is>
      </c>
      <c r="I31" t="n">
        <v>0.6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Fällmossa</t>
        </is>
      </c>
      <c r="W31">
        <f>HYPERLINK("https://klasma.github.io/Logging_0582/artfynd/A 50708-2024 artfynd.xlsx", "A 50708-2024")</f>
        <v/>
      </c>
      <c r="X31">
        <f>HYPERLINK("https://klasma.github.io/Logging_0582/kartor/A 50708-2024 karta.png", "A 50708-2024")</f>
        <v/>
      </c>
      <c r="Y31">
        <f>HYPERLINK("https://klasma.github.io/Logging_0582/kartor_geotiff/A 50708-2024 georefererad karta.tif", "A 50708-2024")</f>
        <v/>
      </c>
      <c r="AA31">
        <f>HYPERLINK("https://klasma.github.io/Logging_0582/klagomål/A 50708-2024 FSC-klagomål.docx", "A 50708-2024")</f>
        <v/>
      </c>
      <c r="AB31">
        <f>HYPERLINK("https://klasma.github.io/Logging_0582/klagomålsmail/A 50708-2024 FSC-klagomål mail.docx", "A 50708-2024")</f>
        <v/>
      </c>
      <c r="AC31">
        <f>HYPERLINK("https://klasma.github.io/Logging_0582/tillsyn/A 50708-2024 tillsynsbegäran.docx", "A 50708-2024")</f>
        <v/>
      </c>
      <c r="AD31">
        <f>HYPERLINK("https://klasma.github.io/Logging_0582/tillsynsmail/A 50708-2024 tillsynsbegäran mail.docx", "A 50708-2024")</f>
        <v/>
      </c>
    </row>
    <row r="32" ht="15" customHeight="1">
      <c r="A32" t="inlineStr">
        <is>
          <t>A 22512-2024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45447</v>
      </c>
      <c r="E32" s="1" t="n">
        <v>46326</v>
      </c>
      <c r="F32" t="inlineStr">
        <is>
          <t>ÖSTERGÖTLANDS LÄN</t>
        </is>
      </c>
      <c r="G32" t="inlineStr">
        <is>
          <t>SÖDERKÖPING</t>
        </is>
      </c>
      <c r="H32" t="inlineStr">
        <is>
          <t>Kommuner</t>
        </is>
      </c>
      <c r="I32" t="n">
        <v>2.8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s="2" t="inlineStr">
        <is>
          <t>Skogsstjärna</t>
        </is>
      </c>
      <c r="W32">
        <f>HYPERLINK("https://klasma.github.io/Logging_0582/artfynd/A 22512-2024 artfynd.xlsx", "A 22512-2024")</f>
        <v/>
      </c>
      <c r="X32">
        <f>HYPERLINK("https://klasma.github.io/Logging_0582/kartor/A 22512-2024 karta.png", "A 22512-2024")</f>
        <v/>
      </c>
      <c r="Y32">
        <f>HYPERLINK("https://klasma.github.io/Logging_0582/kartor_geotiff/A 22512-2024 georefererad karta.tif", "A 22512-2024")</f>
        <v/>
      </c>
      <c r="AA32">
        <f>HYPERLINK("https://klasma.github.io/Logging_0582/klagomål/A 22512-2024 FSC-klagomål.docx", "A 22512-2024")</f>
        <v/>
      </c>
      <c r="AB32">
        <f>HYPERLINK("https://klasma.github.io/Logging_0582/klagomålsmail/A 22512-2024 FSC-klagomål mail.docx", "A 22512-2024")</f>
        <v/>
      </c>
      <c r="AC32">
        <f>HYPERLINK("https://klasma.github.io/Logging_0582/tillsyn/A 22512-2024 tillsynsbegäran.docx", "A 22512-2024")</f>
        <v/>
      </c>
      <c r="AD32">
        <f>HYPERLINK("https://klasma.github.io/Logging_0582/tillsynsmail/A 22512-2024 tillsynsbegäran mail.docx", "A 22512-2024")</f>
        <v/>
      </c>
    </row>
    <row r="33" ht="15" customHeight="1">
      <c r="A33" t="inlineStr">
        <is>
          <t>A 38709-2026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46283</v>
      </c>
      <c r="E33" s="1" t="n">
        <v>46326</v>
      </c>
      <c r="F33" t="inlineStr">
        <is>
          <t>ÖSTERGÖTLANDS LÄN</t>
        </is>
      </c>
      <c r="G33" t="inlineStr">
        <is>
          <t>SÖDERKÖPING</t>
        </is>
      </c>
      <c r="H33" t="inlineStr">
        <is>
          <t>Allmännings- och besparingsskogar</t>
        </is>
      </c>
      <c r="I33" t="n">
        <v>9.5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Grönpyrola</t>
        </is>
      </c>
      <c r="W33">
        <f>HYPERLINK("https://klasma.github.io/Logging_0582/artfynd/A 38709-2026 artfynd.xlsx", "A 38709-2026")</f>
        <v/>
      </c>
      <c r="X33">
        <f>HYPERLINK("https://klasma.github.io/Logging_0582/kartor/A 38709-2026 karta.png", "A 38709-2026")</f>
        <v/>
      </c>
      <c r="Y33">
        <f>HYPERLINK("https://klasma.github.io/Logging_0582/kartor_geotiff/A 38709-2026 georefererad karta.tif", "A 38709-2026")</f>
        <v/>
      </c>
      <c r="AA33">
        <f>HYPERLINK("https://klasma.github.io/Logging_0582/klagomål/A 38709-2026 FSC-klagomål.docx", "A 38709-2026")</f>
        <v/>
      </c>
      <c r="AB33">
        <f>HYPERLINK("https://klasma.github.io/Logging_0582/klagomålsmail/A 38709-2026 FSC-klagomål mail.docx", "A 38709-2026")</f>
        <v/>
      </c>
      <c r="AC33">
        <f>HYPERLINK("https://klasma.github.io/Logging_0582/tillsyn/A 38709-2026 tillsynsbegäran.docx", "A 38709-2026")</f>
        <v/>
      </c>
      <c r="AD33">
        <f>HYPERLINK("https://klasma.github.io/Logging_0582/tillsynsmail/A 38709-2026 tillsynsbegäran mail.docx", "A 38709-2026")</f>
        <v/>
      </c>
    </row>
    <row r="34" ht="15" customHeight="1">
      <c r="A34" t="inlineStr">
        <is>
          <t>S 466-2026</t>
        </is>
      </c>
      <c r="B34" t="inlineStr">
        <is>
          <t>samrådsanmälan</t>
        </is>
      </c>
      <c r="C34" t="inlineStr">
        <is>
          <t>Annan skogsbruksåtgärd</t>
        </is>
      </c>
      <c r="D34" s="1" t="n">
        <v>46073</v>
      </c>
      <c r="E34" s="1" t="n">
        <v>46326</v>
      </c>
      <c r="F34" t="inlineStr">
        <is>
          <t>ÖSTERGÖTLANDS LÄN</t>
        </is>
      </c>
      <c r="G34" t="inlineStr">
        <is>
          <t>SÖDERKÖPING</t>
        </is>
      </c>
      <c r="I34" t="n">
        <v>0.4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Guldlockmossa</t>
        </is>
      </c>
      <c r="W34">
        <f>HYPERLINK("https://klasma.github.io/Logging_0582/artfynd/S 466-2026 artfynd.xlsx", "S 466-2026")</f>
        <v/>
      </c>
      <c r="X34">
        <f>HYPERLINK("https://klasma.github.io/Logging_0582/kartor/S 466-2026 karta.png", "S 466-2026")</f>
        <v/>
      </c>
      <c r="Y34">
        <f>HYPERLINK("https://klasma.github.io/Logging_0582/kartor_geotiff/S 466-2026 georefererad karta.tif", "S 466-2026")</f>
        <v/>
      </c>
      <c r="AA34">
        <f>HYPERLINK("https://klasma.github.io/Logging_0582/klagomål/S 466-2026 FSC-klagomål.docx", "S 466-2026")</f>
        <v/>
      </c>
      <c r="AB34">
        <f>HYPERLINK("https://klasma.github.io/Logging_0582/klagomålsmail/S 466-2026 FSC-klagomål mail.docx", "S 466-2026")</f>
        <v/>
      </c>
      <c r="AC34">
        <f>HYPERLINK("https://klasma.github.io/Logging_0582/tillsyn/S 466-2026 tillsynsbegäran.docx", "S 466-2026")</f>
        <v/>
      </c>
      <c r="AD34">
        <f>HYPERLINK("https://klasma.github.io/Logging_0582/tillsynsmail/S 466-2026 tillsynsbegäran mail.docx", "S 466-2026")</f>
        <v/>
      </c>
    </row>
    <row r="35" ht="15" customHeight="1">
      <c r="A35" t="inlineStr">
        <is>
          <t>S 1539-2026</t>
        </is>
      </c>
      <c r="B35" t="inlineStr">
        <is>
          <t>samrådsanmälan</t>
        </is>
      </c>
      <c r="C35" t="inlineStr">
        <is>
          <t>Annan skogsbruksåtgärd</t>
        </is>
      </c>
      <c r="D35" s="1" t="n">
        <v>46168</v>
      </c>
      <c r="E35" s="1" t="n">
        <v>46326</v>
      </c>
      <c r="F35" t="inlineStr">
        <is>
          <t>ÖSTERGÖTLANDS LÄN</t>
        </is>
      </c>
      <c r="G35" t="inlineStr">
        <is>
          <t>SÖDERKÖPING</t>
        </is>
      </c>
      <c r="I35" t="n">
        <v>3.3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2</v>
      </c>
      <c r="U35" t="n">
        <v>0</v>
      </c>
      <c r="V35" s="2" t="inlineStr">
        <is>
          <t>Ask</t>
        </is>
      </c>
      <c r="W35">
        <f>HYPERLINK("https://klasma.github.io/Logging_0582/artfynd/S 1539-2026 artfynd.xlsx", "S 1539-2026")</f>
        <v/>
      </c>
      <c r="X35">
        <f>HYPERLINK("https://klasma.github.io/Logging_0582/kartor/S 1539-2026 karta.png", "S 1539-2026")</f>
        <v/>
      </c>
      <c r="Y35">
        <f>HYPERLINK("https://klasma.github.io/Logging_0582/kartor_geotiff/S 1539-2026 georefererad karta.tif", "S 1539-2026")</f>
        <v/>
      </c>
      <c r="AA35">
        <f>HYPERLINK("https://klasma.github.io/Logging_0582/klagomål/S 1539-2026 FSC-klagomål.docx", "S 1539-2026")</f>
        <v/>
      </c>
      <c r="AB35">
        <f>HYPERLINK("https://klasma.github.io/Logging_0582/klagomålsmail/S 1539-2026 FSC-klagomål mail.docx", "S 1539-2026")</f>
        <v/>
      </c>
      <c r="AC35">
        <f>HYPERLINK("https://klasma.github.io/Logging_0582/tillsyn/S 1539-2026 tillsynsbegäran.docx", "S 1539-2026")</f>
        <v/>
      </c>
      <c r="AD35">
        <f>HYPERLINK("https://klasma.github.io/Logging_0582/tillsynsmail/S 1539-2026 tillsynsbegäran mail.docx", "S 1539-2026")</f>
        <v/>
      </c>
    </row>
    <row r="36" ht="15" customHeight="1">
      <c r="A36" t="inlineStr">
        <is>
          <t>A 49824-2022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44862</v>
      </c>
      <c r="E36" s="1" t="n">
        <v>46326</v>
      </c>
      <c r="F36" t="inlineStr">
        <is>
          <t>ÖSTERGÖTLANDS LÄN</t>
        </is>
      </c>
      <c r="G36" t="inlineStr">
        <is>
          <t>SÖDERKÖPING</t>
        </is>
      </c>
      <c r="I36" t="n">
        <v>0.6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56219-2022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44890</v>
      </c>
      <c r="E37" s="1" t="n">
        <v>46326</v>
      </c>
      <c r="F37" t="inlineStr">
        <is>
          <t>ÖSTERGÖTLANDS LÄN</t>
        </is>
      </c>
      <c r="G37" t="inlineStr">
        <is>
          <t>SÖDERKÖPING</t>
        </is>
      </c>
      <c r="I37" t="n">
        <v>0.4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17275-2022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44678</v>
      </c>
      <c r="E38" s="1" t="n">
        <v>46326</v>
      </c>
      <c r="F38" t="inlineStr">
        <is>
          <t>ÖSTERGÖTLANDS LÄN</t>
        </is>
      </c>
      <c r="G38" t="inlineStr">
        <is>
          <t>SÖDERKÖPING</t>
        </is>
      </c>
      <c r="I38" t="n">
        <v>3.6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8628-2022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44613</v>
      </c>
      <c r="E39" s="1" t="n">
        <v>46326</v>
      </c>
      <c r="F39" t="inlineStr">
        <is>
          <t>ÖSTERGÖTLANDS LÄN</t>
        </is>
      </c>
      <c r="G39" t="inlineStr">
        <is>
          <t>SÖDERKÖPING</t>
        </is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19338-2022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44692</v>
      </c>
      <c r="E40" s="1" t="n">
        <v>46326</v>
      </c>
      <c r="F40" t="inlineStr">
        <is>
          <t>ÖSTERGÖTLANDS LÄN</t>
        </is>
      </c>
      <c r="G40" t="inlineStr">
        <is>
          <t>SÖDERKÖPING</t>
        </is>
      </c>
      <c r="H40" t="inlineStr">
        <is>
          <t>Kommuner</t>
        </is>
      </c>
      <c r="I40" t="n">
        <v>2.8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49823-2022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44862</v>
      </c>
      <c r="E41" s="1" t="n">
        <v>46326</v>
      </c>
      <c r="F41" t="inlineStr">
        <is>
          <t>ÖSTERGÖTLANDS LÄN</t>
        </is>
      </c>
      <c r="G41" t="inlineStr">
        <is>
          <t>SÖDERKÖPING</t>
        </is>
      </c>
      <c r="I41" t="n">
        <v>2.5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52451-2022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44874</v>
      </c>
      <c r="E42" s="1" t="n">
        <v>46326</v>
      </c>
      <c r="F42" t="inlineStr">
        <is>
          <t>ÖSTERGÖTLANDS LÄN</t>
        </is>
      </c>
      <c r="G42" t="inlineStr">
        <is>
          <t>SÖDERKÖPING</t>
        </is>
      </c>
      <c r="I42" t="n">
        <v>0.8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10836-2022</t>
        </is>
      </c>
      <c r="B43" t="inlineStr">
        <is>
          <t>avverkningsanmälan</t>
        </is>
      </c>
      <c r="C43" t="inlineStr">
        <is>
          <t>Avverkning för annat ändamål</t>
        </is>
      </c>
      <c r="D43" s="1" t="n">
        <v>44627</v>
      </c>
      <c r="E43" s="1" t="n">
        <v>46326</v>
      </c>
      <c r="F43" t="inlineStr">
        <is>
          <t>ÖSTERGÖTLANDS LÄN</t>
        </is>
      </c>
      <c r="G43" t="inlineStr">
        <is>
          <t>SÖDERKÖPING</t>
        </is>
      </c>
      <c r="I43" t="n">
        <v>1.2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18251-2022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44685</v>
      </c>
      <c r="E44" s="1" t="n">
        <v>46326</v>
      </c>
      <c r="F44" t="inlineStr">
        <is>
          <t>ÖSTERGÖTLANDS LÄN</t>
        </is>
      </c>
      <c r="G44" t="inlineStr">
        <is>
          <t>SÖDERKÖPING</t>
        </is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42432-2022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44831</v>
      </c>
      <c r="E45" s="1" t="n">
        <v>46326</v>
      </c>
      <c r="F45" t="inlineStr">
        <is>
          <t>ÖSTERGÖTLANDS LÄN</t>
        </is>
      </c>
      <c r="G45" t="inlineStr">
        <is>
          <t>SÖDERKÖPING</t>
        </is>
      </c>
      <c r="I45" t="n">
        <v>5.9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54324-2022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44882</v>
      </c>
      <c r="E46" s="1" t="n">
        <v>46326</v>
      </c>
      <c r="F46" t="inlineStr">
        <is>
          <t>ÖSTERGÖTLANDS LÄN</t>
        </is>
      </c>
      <c r="G46" t="inlineStr">
        <is>
          <t>SÖDERKÖPING</t>
        </is>
      </c>
      <c r="I46" t="n">
        <v>1.3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611-2022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44567</v>
      </c>
      <c r="E47" s="1" t="n">
        <v>46326</v>
      </c>
      <c r="F47" t="inlineStr">
        <is>
          <t>ÖSTERGÖTLANDS LÄN</t>
        </is>
      </c>
      <c r="G47" t="inlineStr">
        <is>
          <t>SÖDERKÖPING</t>
        </is>
      </c>
      <c r="I47" t="n">
        <v>2.9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23774-2022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44722</v>
      </c>
      <c r="E48" s="1" t="n">
        <v>46326</v>
      </c>
      <c r="F48" t="inlineStr">
        <is>
          <t>ÖSTERGÖTLANDS LÄN</t>
        </is>
      </c>
      <c r="G48" t="inlineStr">
        <is>
          <t>SÖDERKÖPING</t>
        </is>
      </c>
      <c r="I48" t="n">
        <v>1.1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23767-2022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44721</v>
      </c>
      <c r="E49" s="1" t="n">
        <v>46326</v>
      </c>
      <c r="F49" t="inlineStr">
        <is>
          <t>ÖSTERGÖTLANDS LÄN</t>
        </is>
      </c>
      <c r="G49" t="inlineStr">
        <is>
          <t>SÖDERKÖPING</t>
        </is>
      </c>
      <c r="I49" t="n">
        <v>1.8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23782-2022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44722</v>
      </c>
      <c r="E50" s="1" t="n">
        <v>46326</v>
      </c>
      <c r="F50" t="inlineStr">
        <is>
          <t>ÖSTERGÖTLANDS LÄN</t>
        </is>
      </c>
      <c r="G50" t="inlineStr">
        <is>
          <t>SÖDERKÖPING</t>
        </is>
      </c>
      <c r="I50" t="n">
        <v>0.4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52465-2022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44874</v>
      </c>
      <c r="E51" s="1" t="n">
        <v>46326</v>
      </c>
      <c r="F51" t="inlineStr">
        <is>
          <t>ÖSTERGÖTLANDS LÄN</t>
        </is>
      </c>
      <c r="G51" t="inlineStr">
        <is>
          <t>SÖDERKÖPING</t>
        </is>
      </c>
      <c r="I51" t="n">
        <v>3.8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70793-2021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44537</v>
      </c>
      <c r="E52" s="1" t="n">
        <v>46326</v>
      </c>
      <c r="F52" t="inlineStr">
        <is>
          <t>ÖSTERGÖTLANDS LÄN</t>
        </is>
      </c>
      <c r="G52" t="inlineStr">
        <is>
          <t>SÖDERKÖPING</t>
        </is>
      </c>
      <c r="I52" t="n">
        <v>1.8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66356-2021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44518</v>
      </c>
      <c r="E53" s="1" t="n">
        <v>46326</v>
      </c>
      <c r="F53" t="inlineStr">
        <is>
          <t>ÖSTERGÖTLANDS LÄN</t>
        </is>
      </c>
      <c r="G53" t="inlineStr">
        <is>
          <t>SÖDERKÖPING</t>
        </is>
      </c>
      <c r="I53" t="n">
        <v>1.3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49230-2022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44861</v>
      </c>
      <c r="E54" s="1" t="n">
        <v>46326</v>
      </c>
      <c r="F54" t="inlineStr">
        <is>
          <t>ÖSTERGÖTLANDS LÄN</t>
        </is>
      </c>
      <c r="G54" t="inlineStr">
        <is>
          <t>SÖDERKÖPING</t>
        </is>
      </c>
      <c r="I54" t="n">
        <v>2.7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71426-2021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44540</v>
      </c>
      <c r="E55" s="1" t="n">
        <v>46326</v>
      </c>
      <c r="F55" t="inlineStr">
        <is>
          <t>ÖSTERGÖTLANDS LÄN</t>
        </is>
      </c>
      <c r="G55" t="inlineStr">
        <is>
          <t>SÖDERKÖPING</t>
        </is>
      </c>
      <c r="I55" t="n">
        <v>1.7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26594-2023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45092</v>
      </c>
      <c r="E56" s="1" t="n">
        <v>46326</v>
      </c>
      <c r="F56" t="inlineStr">
        <is>
          <t>ÖSTERGÖTLANDS LÄN</t>
        </is>
      </c>
      <c r="G56" t="inlineStr">
        <is>
          <t>SÖDERKÖPING</t>
        </is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63392-2021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44508</v>
      </c>
      <c r="E57" s="1" t="n">
        <v>46326</v>
      </c>
      <c r="F57" t="inlineStr">
        <is>
          <t>ÖSTERGÖTLANDS LÄN</t>
        </is>
      </c>
      <c r="G57" t="inlineStr">
        <is>
          <t>SÖDERKÖPING</t>
        </is>
      </c>
      <c r="I57" t="n">
        <v>1.7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50873-2023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45218</v>
      </c>
      <c r="E58" s="1" t="n">
        <v>46326</v>
      </c>
      <c r="F58" t="inlineStr">
        <is>
          <t>ÖSTERGÖTLANDS LÄN</t>
        </is>
      </c>
      <c r="G58" t="inlineStr">
        <is>
          <t>SÖDERKÖPING</t>
        </is>
      </c>
      <c r="I58" t="n">
        <v>2.7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26915-2023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45093</v>
      </c>
      <c r="E59" s="1" t="n">
        <v>46326</v>
      </c>
      <c r="F59" t="inlineStr">
        <is>
          <t>ÖSTERGÖTLANDS LÄN</t>
        </is>
      </c>
      <c r="G59" t="inlineStr">
        <is>
          <t>SÖDERKÖPING</t>
        </is>
      </c>
      <c r="I59" t="n">
        <v>5.7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61514-2023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45265</v>
      </c>
      <c r="E60" s="1" t="n">
        <v>46326</v>
      </c>
      <c r="F60" t="inlineStr">
        <is>
          <t>ÖSTERGÖTLANDS LÄN</t>
        </is>
      </c>
      <c r="G60" t="inlineStr">
        <is>
          <t>SÖDERKÖPING</t>
        </is>
      </c>
      <c r="I60" t="n">
        <v>1.9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20221-2023</t>
        </is>
      </c>
      <c r="B61" t="inlineStr">
        <is>
          <t>avverkningsanmälan</t>
        </is>
      </c>
      <c r="C61" t="inlineStr">
        <is>
          <t>Avverkning för annat ändamål</t>
        </is>
      </c>
      <c r="D61" s="1" t="n">
        <v>45055</v>
      </c>
      <c r="E61" s="1" t="n">
        <v>46326</v>
      </c>
      <c r="F61" t="inlineStr">
        <is>
          <t>ÖSTERGÖTLANDS LÄN</t>
        </is>
      </c>
      <c r="G61" t="inlineStr">
        <is>
          <t>SÖDERKÖPING</t>
        </is>
      </c>
      <c r="I61" t="n">
        <v>2.8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16417-2025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45751</v>
      </c>
      <c r="E62" s="1" t="n">
        <v>46326</v>
      </c>
      <c r="F62" t="inlineStr">
        <is>
          <t>ÖSTERGÖTLANDS LÄN</t>
        </is>
      </c>
      <c r="G62" t="inlineStr">
        <is>
          <t>SÖDERKÖPING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5615-2023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44958</v>
      </c>
      <c r="E63" s="1" t="n">
        <v>46326</v>
      </c>
      <c r="F63" t="inlineStr">
        <is>
          <t>ÖSTERGÖTLANDS LÄN</t>
        </is>
      </c>
      <c r="G63" t="inlineStr">
        <is>
          <t>SÖDERKÖPING</t>
        </is>
      </c>
      <c r="I63" t="n">
        <v>1.1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16286-2023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45028</v>
      </c>
      <c r="E64" s="1" t="n">
        <v>46326</v>
      </c>
      <c r="F64" t="inlineStr">
        <is>
          <t>ÖSTERGÖTLANDS LÄN</t>
        </is>
      </c>
      <c r="G64" t="inlineStr">
        <is>
          <t>SÖDERKÖPING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1399-2025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45667</v>
      </c>
      <c r="E65" s="1" t="n">
        <v>46326</v>
      </c>
      <c r="F65" t="inlineStr">
        <is>
          <t>ÖSTERGÖTLANDS LÄN</t>
        </is>
      </c>
      <c r="G65" t="inlineStr">
        <is>
          <t>SÖDERKÖPING</t>
        </is>
      </c>
      <c r="I65" t="n">
        <v>1.4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27464-2023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45097</v>
      </c>
      <c r="E66" s="1" t="n">
        <v>46326</v>
      </c>
      <c r="F66" t="inlineStr">
        <is>
          <t>ÖSTERGÖTLANDS LÄN</t>
        </is>
      </c>
      <c r="G66" t="inlineStr">
        <is>
          <t>SÖDERKÖPING</t>
        </is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50866-2023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45218</v>
      </c>
      <c r="E67" s="1" t="n">
        <v>46326</v>
      </c>
      <c r="F67" t="inlineStr">
        <is>
          <t>ÖSTERGÖTLANDS LÄN</t>
        </is>
      </c>
      <c r="G67" t="inlineStr">
        <is>
          <t>SÖDERKÖPING</t>
        </is>
      </c>
      <c r="I67" t="n">
        <v>1.1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61511-2023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45265</v>
      </c>
      <c r="E68" s="1" t="n">
        <v>46326</v>
      </c>
      <c r="F68" t="inlineStr">
        <is>
          <t>ÖSTERGÖTLANDS LÄN</t>
        </is>
      </c>
      <c r="G68" t="inlineStr">
        <is>
          <t>SÖDERKÖPING</t>
        </is>
      </c>
      <c r="I68" t="n">
        <v>1.5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44819-2023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45190</v>
      </c>
      <c r="E69" s="1" t="n">
        <v>46326</v>
      </c>
      <c r="F69" t="inlineStr">
        <is>
          <t>ÖSTERGÖTLANDS LÄN</t>
        </is>
      </c>
      <c r="G69" t="inlineStr">
        <is>
          <t>SÖDERKÖPING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410-2025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45663</v>
      </c>
      <c r="E70" s="1" t="n">
        <v>46326</v>
      </c>
      <c r="F70" t="inlineStr">
        <is>
          <t>ÖSTERGÖTLANDS LÄN</t>
        </is>
      </c>
      <c r="G70" t="inlineStr">
        <is>
          <t>SÖDERKÖPING</t>
        </is>
      </c>
      <c r="I70" t="n">
        <v>3.9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25790-2023</t>
        </is>
      </c>
      <c r="B71" t="inlineStr">
        <is>
          <t>avverkningsanmälan</t>
        </is>
      </c>
      <c r="C71" t="inlineStr">
        <is>
          <t>Avverkning för annat ändamål</t>
        </is>
      </c>
      <c r="D71" s="1" t="n">
        <v>45090</v>
      </c>
      <c r="E71" s="1" t="n">
        <v>46326</v>
      </c>
      <c r="F71" t="inlineStr">
        <is>
          <t>ÖSTERGÖTLANDS LÄN</t>
        </is>
      </c>
      <c r="G71" t="inlineStr">
        <is>
          <t>SÖDERKÖPING</t>
        </is>
      </c>
      <c r="I71" t="n">
        <v>7.9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26432-2022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44736</v>
      </c>
      <c r="E72" s="1" t="n">
        <v>46326</v>
      </c>
      <c r="F72" t="inlineStr">
        <is>
          <t>ÖSTERGÖTLANDS LÄN</t>
        </is>
      </c>
      <c r="G72" t="inlineStr">
        <is>
          <t>SÖDERKÖPING</t>
        </is>
      </c>
      <c r="I72" t="n">
        <v>2.7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4224-2025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45685</v>
      </c>
      <c r="E73" s="1" t="n">
        <v>46326</v>
      </c>
      <c r="F73" t="inlineStr">
        <is>
          <t>ÖSTERGÖTLANDS LÄN</t>
        </is>
      </c>
      <c r="G73" t="inlineStr">
        <is>
          <t>SÖDERKÖPING</t>
        </is>
      </c>
      <c r="I73" t="n">
        <v>1.5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5300-2025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45692</v>
      </c>
      <c r="E74" s="1" t="n">
        <v>46326</v>
      </c>
      <c r="F74" t="inlineStr">
        <is>
          <t>ÖSTERGÖTLANDS LÄN</t>
        </is>
      </c>
      <c r="G74" t="inlineStr">
        <is>
          <t>SÖDERKÖPING</t>
        </is>
      </c>
      <c r="I74" t="n">
        <v>1.1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51748-2023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45222</v>
      </c>
      <c r="E75" s="1" t="n">
        <v>46326</v>
      </c>
      <c r="F75" t="inlineStr">
        <is>
          <t>ÖSTERGÖTLANDS LÄN</t>
        </is>
      </c>
      <c r="G75" t="inlineStr">
        <is>
          <t>SÖDERKÖPING</t>
        </is>
      </c>
      <c r="I75" t="n">
        <v>1.8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37694-2023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45159</v>
      </c>
      <c r="E76" s="1" t="n">
        <v>46326</v>
      </c>
      <c r="F76" t="inlineStr">
        <is>
          <t>ÖSTERGÖTLANDS LÄN</t>
        </is>
      </c>
      <c r="G76" t="inlineStr">
        <is>
          <t>SÖDERKÖPING</t>
        </is>
      </c>
      <c r="I76" t="n">
        <v>1.7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29660-2022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44754</v>
      </c>
      <c r="E77" s="1" t="n">
        <v>46326</v>
      </c>
      <c r="F77" t="inlineStr">
        <is>
          <t>ÖSTERGÖTLANDS LÄN</t>
        </is>
      </c>
      <c r="G77" t="inlineStr">
        <is>
          <t>SÖDERKÖPING</t>
        </is>
      </c>
      <c r="I77" t="n">
        <v>1.9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57349-2023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45245</v>
      </c>
      <c r="E78" s="1" t="n">
        <v>46326</v>
      </c>
      <c r="F78" t="inlineStr">
        <is>
          <t>ÖSTERGÖTLANDS LÄN</t>
        </is>
      </c>
      <c r="G78" t="inlineStr">
        <is>
          <t>SÖDERKÖPING</t>
        </is>
      </c>
      <c r="I78" t="n">
        <v>1.5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2033-2023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44939</v>
      </c>
      <c r="E79" s="1" t="n">
        <v>46326</v>
      </c>
      <c r="F79" t="inlineStr">
        <is>
          <t>ÖSTERGÖTLANDS LÄN</t>
        </is>
      </c>
      <c r="G79" t="inlineStr">
        <is>
          <t>SÖDERKÖPING</t>
        </is>
      </c>
      <c r="I79" t="n">
        <v>2.5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16775-2025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45754</v>
      </c>
      <c r="E80" s="1" t="n">
        <v>46326</v>
      </c>
      <c r="F80" t="inlineStr">
        <is>
          <t>ÖSTERGÖTLANDS LÄN</t>
        </is>
      </c>
      <c r="G80" t="inlineStr">
        <is>
          <t>SÖDERKÖPING</t>
        </is>
      </c>
      <c r="I80" t="n">
        <v>5.5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8999-2023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44979</v>
      </c>
      <c r="E81" s="1" t="n">
        <v>46326</v>
      </c>
      <c r="F81" t="inlineStr">
        <is>
          <t>ÖSTERGÖTLANDS LÄN</t>
        </is>
      </c>
      <c r="G81" t="inlineStr">
        <is>
          <t>SÖDERKÖPING</t>
        </is>
      </c>
      <c r="H81" t="inlineStr">
        <is>
          <t>Allmännings- och besparingsskogar</t>
        </is>
      </c>
      <c r="I81" t="n">
        <v>1.9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14776-2025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45742</v>
      </c>
      <c r="E82" s="1" t="n">
        <v>46326</v>
      </c>
      <c r="F82" t="inlineStr">
        <is>
          <t>ÖSTERGÖTLANDS LÄN</t>
        </is>
      </c>
      <c r="G82" t="inlineStr">
        <is>
          <t>SÖDERKÖPING</t>
        </is>
      </c>
      <c r="I82" t="n">
        <v>1.1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28482-2025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45817</v>
      </c>
      <c r="E83" s="1" t="n">
        <v>46326</v>
      </c>
      <c r="F83" t="inlineStr">
        <is>
          <t>ÖSTERGÖTLANDS LÄN</t>
        </is>
      </c>
      <c r="G83" t="inlineStr">
        <is>
          <t>SÖDERKÖPING</t>
        </is>
      </c>
      <c r="I83" t="n">
        <v>2.2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28487-2025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45817</v>
      </c>
      <c r="E84" s="1" t="n">
        <v>46326</v>
      </c>
      <c r="F84" t="inlineStr">
        <is>
          <t>ÖSTERGÖTLANDS LÄN</t>
        </is>
      </c>
      <c r="G84" t="inlineStr">
        <is>
          <t>SÖDERKÖPING</t>
        </is>
      </c>
      <c r="I84" t="n">
        <v>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26058-2022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44734</v>
      </c>
      <c r="E85" s="1" t="n">
        <v>46326</v>
      </c>
      <c r="F85" t="inlineStr">
        <is>
          <t>ÖSTERGÖTLANDS LÄN</t>
        </is>
      </c>
      <c r="G85" t="inlineStr">
        <is>
          <t>SÖDERKÖPING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33726-2023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45119</v>
      </c>
      <c r="E86" s="1" t="n">
        <v>46326</v>
      </c>
      <c r="F86" t="inlineStr">
        <is>
          <t>ÖSTERGÖTLANDS LÄN</t>
        </is>
      </c>
      <c r="G86" t="inlineStr">
        <is>
          <t>SÖDERKÖPING</t>
        </is>
      </c>
      <c r="I86" t="n">
        <v>1.2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33731-2023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45119</v>
      </c>
      <c r="E87" s="1" t="n">
        <v>46326</v>
      </c>
      <c r="F87" t="inlineStr">
        <is>
          <t>ÖSTERGÖTLANDS LÄN</t>
        </is>
      </c>
      <c r="G87" t="inlineStr">
        <is>
          <t>SÖDERKÖPING</t>
        </is>
      </c>
      <c r="I87" t="n">
        <v>2.4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33733-2023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45119</v>
      </c>
      <c r="E88" s="1" t="n">
        <v>46326</v>
      </c>
      <c r="F88" t="inlineStr">
        <is>
          <t>ÖSTERGÖTLANDS LÄN</t>
        </is>
      </c>
      <c r="G88" t="inlineStr">
        <is>
          <t>SÖDERKÖPING</t>
        </is>
      </c>
      <c r="I88" t="n">
        <v>1.8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39854-2025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45891</v>
      </c>
      <c r="E89" s="1" t="n">
        <v>46326</v>
      </c>
      <c r="F89" t="inlineStr">
        <is>
          <t>ÖSTERGÖTLANDS LÄN</t>
        </is>
      </c>
      <c r="G89" t="inlineStr">
        <is>
          <t>SÖDERKÖPING</t>
        </is>
      </c>
      <c r="I89" t="n">
        <v>26.6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28350-2025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45818</v>
      </c>
      <c r="E90" s="1" t="n">
        <v>46326</v>
      </c>
      <c r="F90" t="inlineStr">
        <is>
          <t>ÖSTERGÖTLANDS LÄN</t>
        </is>
      </c>
      <c r="G90" t="inlineStr">
        <is>
          <t>SÖDERKÖPING</t>
        </is>
      </c>
      <c r="I90" t="n">
        <v>0.5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4163-2022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44588</v>
      </c>
      <c r="E91" s="1" t="n">
        <v>46326</v>
      </c>
      <c r="F91" t="inlineStr">
        <is>
          <t>ÖSTERGÖTLANDS LÄN</t>
        </is>
      </c>
      <c r="G91" t="inlineStr">
        <is>
          <t>SÖDERKÖPING</t>
        </is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44859-2023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45190</v>
      </c>
      <c r="E92" s="1" t="n">
        <v>46326</v>
      </c>
      <c r="F92" t="inlineStr">
        <is>
          <t>ÖSTERGÖTLANDS LÄN</t>
        </is>
      </c>
      <c r="G92" t="inlineStr">
        <is>
          <t>SÖDERKÖPING</t>
        </is>
      </c>
      <c r="I92" t="n">
        <v>3.2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53777-2023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45231</v>
      </c>
      <c r="E93" s="1" t="n">
        <v>46326</v>
      </c>
      <c r="F93" t="inlineStr">
        <is>
          <t>ÖSTERGÖTLANDS LÄN</t>
        </is>
      </c>
      <c r="G93" t="inlineStr">
        <is>
          <t>SÖDERKÖPING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45044-2023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45191</v>
      </c>
      <c r="E94" s="1" t="n">
        <v>46326</v>
      </c>
      <c r="F94" t="inlineStr">
        <is>
          <t>ÖSTERGÖTLANDS LÄN</t>
        </is>
      </c>
      <c r="G94" t="inlineStr">
        <is>
          <t>SÖDERKÖPING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38595-2022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44813</v>
      </c>
      <c r="E95" s="1" t="n">
        <v>46326</v>
      </c>
      <c r="F95" t="inlineStr">
        <is>
          <t>ÖSTERGÖTLANDS LÄN</t>
        </is>
      </c>
      <c r="G95" t="inlineStr">
        <is>
          <t>SÖDERKÖPING</t>
        </is>
      </c>
      <c r="H95" t="inlineStr">
        <is>
          <t>Holmen skog AB</t>
        </is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45483-2023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45194</v>
      </c>
      <c r="E96" s="1" t="n">
        <v>46326</v>
      </c>
      <c r="F96" t="inlineStr">
        <is>
          <t>ÖSTERGÖTLANDS LÄN</t>
        </is>
      </c>
      <c r="G96" t="inlineStr">
        <is>
          <t>SÖDERKÖPING</t>
        </is>
      </c>
      <c r="I96" t="n">
        <v>4.1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23121-2025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45791</v>
      </c>
      <c r="E97" s="1" t="n">
        <v>46326</v>
      </c>
      <c r="F97" t="inlineStr">
        <is>
          <t>ÖSTERGÖTLANDS LÄN</t>
        </is>
      </c>
      <c r="G97" t="inlineStr">
        <is>
          <t>SÖDERKÖPING</t>
        </is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41363-2023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45174</v>
      </c>
      <c r="E98" s="1" t="n">
        <v>46326</v>
      </c>
      <c r="F98" t="inlineStr">
        <is>
          <t>ÖSTERGÖTLANDS LÄN</t>
        </is>
      </c>
      <c r="G98" t="inlineStr">
        <is>
          <t>SÖDERKÖPING</t>
        </is>
      </c>
      <c r="I98" t="n">
        <v>0.4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31628-2022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44775</v>
      </c>
      <c r="E99" s="1" t="n">
        <v>46326</v>
      </c>
      <c r="F99" t="inlineStr">
        <is>
          <t>ÖSTERGÖTLANDS LÄN</t>
        </is>
      </c>
      <c r="G99" t="inlineStr">
        <is>
          <t>SÖDERKÖPING</t>
        </is>
      </c>
      <c r="I99" t="n">
        <v>1.5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64211-2023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45279</v>
      </c>
      <c r="E100" s="1" t="n">
        <v>46326</v>
      </c>
      <c r="F100" t="inlineStr">
        <is>
          <t>ÖSTERGÖTLANDS LÄN</t>
        </is>
      </c>
      <c r="G100" t="inlineStr">
        <is>
          <t>SÖDERKÖPING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45648-2025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45923</v>
      </c>
      <c r="E101" s="1" t="n">
        <v>46326</v>
      </c>
      <c r="F101" t="inlineStr">
        <is>
          <t>ÖSTERGÖTLANDS LÄN</t>
        </is>
      </c>
      <c r="G101" t="inlineStr">
        <is>
          <t>SÖDERKÖPING</t>
        </is>
      </c>
      <c r="I101" t="n">
        <v>0.8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45518-2025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45922</v>
      </c>
      <c r="E102" s="1" t="n">
        <v>46326</v>
      </c>
      <c r="F102" t="inlineStr">
        <is>
          <t>ÖSTERGÖTLANDS LÄN</t>
        </is>
      </c>
      <c r="G102" t="inlineStr">
        <is>
          <t>SÖDERKÖPING</t>
        </is>
      </c>
      <c r="I102" t="n">
        <v>0.4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34969-2025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45849</v>
      </c>
      <c r="E103" s="1" t="n">
        <v>46326</v>
      </c>
      <c r="F103" t="inlineStr">
        <is>
          <t>ÖSTERGÖTLANDS LÄN</t>
        </is>
      </c>
      <c r="G103" t="inlineStr">
        <is>
          <t>SÖDERKÖPING</t>
        </is>
      </c>
      <c r="I103" t="n">
        <v>9.300000000000001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34971-2025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45849</v>
      </c>
      <c r="E104" s="1" t="n">
        <v>46326</v>
      </c>
      <c r="F104" t="inlineStr">
        <is>
          <t>ÖSTERGÖTLANDS LÄN</t>
        </is>
      </c>
      <c r="G104" t="inlineStr">
        <is>
          <t>SÖDERKÖPING</t>
        </is>
      </c>
      <c r="I104" t="n">
        <v>2.2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45774-2025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45923</v>
      </c>
      <c r="E105" s="1" t="n">
        <v>46326</v>
      </c>
      <c r="F105" t="inlineStr">
        <is>
          <t>ÖSTERGÖTLANDS LÄN</t>
        </is>
      </c>
      <c r="G105" t="inlineStr">
        <is>
          <t>SÖDERKÖPING</t>
        </is>
      </c>
      <c r="I105" t="n">
        <v>8.1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42355-2023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45180</v>
      </c>
      <c r="E106" s="1" t="n">
        <v>46326</v>
      </c>
      <c r="F106" t="inlineStr">
        <is>
          <t>ÖSTERGÖTLANDS LÄN</t>
        </is>
      </c>
      <c r="G106" t="inlineStr">
        <is>
          <t>SÖDERKÖPING</t>
        </is>
      </c>
      <c r="H106" t="inlineStr">
        <is>
          <t>Allmännings- och besparingsskogar</t>
        </is>
      </c>
      <c r="I106" t="n">
        <v>1.3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46733-2025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45926</v>
      </c>
      <c r="E107" s="1" t="n">
        <v>46326</v>
      </c>
      <c r="F107" t="inlineStr">
        <is>
          <t>ÖSTERGÖTLANDS LÄN</t>
        </is>
      </c>
      <c r="G107" t="inlineStr">
        <is>
          <t>SÖDERKÖPING</t>
        </is>
      </c>
      <c r="I107" t="n">
        <v>0.9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46764-2025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45926</v>
      </c>
      <c r="E108" s="1" t="n">
        <v>46326</v>
      </c>
      <c r="F108" t="inlineStr">
        <is>
          <t>ÖSTERGÖTLANDS LÄN</t>
        </is>
      </c>
      <c r="G108" t="inlineStr">
        <is>
          <t>SÖDERKÖPING</t>
        </is>
      </c>
      <c r="I108" t="n">
        <v>3.1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47428-2024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45586</v>
      </c>
      <c r="E109" s="1" t="n">
        <v>46326</v>
      </c>
      <c r="F109" t="inlineStr">
        <is>
          <t>ÖSTERGÖTLANDS LÄN</t>
        </is>
      </c>
      <c r="G109" t="inlineStr">
        <is>
          <t>SÖDERKÖPING</t>
        </is>
      </c>
      <c r="I109" t="n">
        <v>7.8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46780-2025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45926</v>
      </c>
      <c r="E110" s="1" t="n">
        <v>46326</v>
      </c>
      <c r="F110" t="inlineStr">
        <is>
          <t>ÖSTERGÖTLANDS LÄN</t>
        </is>
      </c>
      <c r="G110" t="inlineStr">
        <is>
          <t>SÖDERKÖPING</t>
        </is>
      </c>
      <c r="I110" t="n">
        <v>1.3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46760-2025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45926</v>
      </c>
      <c r="E111" s="1" t="n">
        <v>46326</v>
      </c>
      <c r="F111" t="inlineStr">
        <is>
          <t>ÖSTERGÖTLANDS LÄN</t>
        </is>
      </c>
      <c r="G111" t="inlineStr">
        <is>
          <t>SÖDERKÖPING</t>
        </is>
      </c>
      <c r="I111" t="n">
        <v>2.1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5412-2026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46050</v>
      </c>
      <c r="E112" s="1" t="n">
        <v>46326</v>
      </c>
      <c r="F112" t="inlineStr">
        <is>
          <t>ÖSTERGÖTLANDS LÄN</t>
        </is>
      </c>
      <c r="G112" t="inlineStr">
        <is>
          <t>SÖDERKÖPING</t>
        </is>
      </c>
      <c r="H112" t="inlineStr">
        <is>
          <t>Kyrkan</t>
        </is>
      </c>
      <c r="I112" t="n">
        <v>11.7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46725-2025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45926</v>
      </c>
      <c r="E113" s="1" t="n">
        <v>46326</v>
      </c>
      <c r="F113" t="inlineStr">
        <is>
          <t>ÖSTERGÖTLANDS LÄN</t>
        </is>
      </c>
      <c r="G113" t="inlineStr">
        <is>
          <t>SÖDERKÖPING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6256-2026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46055</v>
      </c>
      <c r="E114" s="1" t="n">
        <v>46326</v>
      </c>
      <c r="F114" t="inlineStr">
        <is>
          <t>ÖSTERGÖTLANDS LÄN</t>
        </is>
      </c>
      <c r="G114" t="inlineStr">
        <is>
          <t>SÖDERKÖPING</t>
        </is>
      </c>
      <c r="I114" t="n">
        <v>2.1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37343-2025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45876</v>
      </c>
      <c r="E115" s="1" t="n">
        <v>46326</v>
      </c>
      <c r="F115" t="inlineStr">
        <is>
          <t>ÖSTERGÖTLANDS LÄN</t>
        </is>
      </c>
      <c r="G115" t="inlineStr">
        <is>
          <t>SÖDERKÖPING</t>
        </is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37345-2025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45876</v>
      </c>
      <c r="E116" s="1" t="n">
        <v>46326</v>
      </c>
      <c r="F116" t="inlineStr">
        <is>
          <t>ÖSTERGÖTLANDS LÄN</t>
        </is>
      </c>
      <c r="G116" t="inlineStr">
        <is>
          <t>SÖDERKÖPING</t>
        </is>
      </c>
      <c r="I116" t="n">
        <v>1.2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10369-2024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45365</v>
      </c>
      <c r="E117" s="1" t="n">
        <v>46326</v>
      </c>
      <c r="F117" t="inlineStr">
        <is>
          <t>ÖSTERGÖTLANDS LÄN</t>
        </is>
      </c>
      <c r="G117" t="inlineStr">
        <is>
          <t>SÖDERKÖPING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6224-2026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46055</v>
      </c>
      <c r="E118" s="1" t="n">
        <v>46326</v>
      </c>
      <c r="F118" t="inlineStr">
        <is>
          <t>ÖSTERGÖTLANDS LÄN</t>
        </is>
      </c>
      <c r="G118" t="inlineStr">
        <is>
          <t>SÖDERKÖPING</t>
        </is>
      </c>
      <c r="I118" t="n">
        <v>1.2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6240-2026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46055</v>
      </c>
      <c r="E119" s="1" t="n">
        <v>46326</v>
      </c>
      <c r="F119" t="inlineStr">
        <is>
          <t>ÖSTERGÖTLANDS LÄN</t>
        </is>
      </c>
      <c r="G119" t="inlineStr">
        <is>
          <t>SÖDERKÖPING</t>
        </is>
      </c>
      <c r="I119" t="n">
        <v>6.1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59471-2023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45254</v>
      </c>
      <c r="E120" s="1" t="n">
        <v>46326</v>
      </c>
      <c r="F120" t="inlineStr">
        <is>
          <t>ÖSTERGÖTLANDS LÄN</t>
        </is>
      </c>
      <c r="G120" t="inlineStr">
        <is>
          <t>SÖDERKÖPING</t>
        </is>
      </c>
      <c r="I120" t="n">
        <v>3.3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6350-2023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44965</v>
      </c>
      <c r="E121" s="1" t="n">
        <v>46326</v>
      </c>
      <c r="F121" t="inlineStr">
        <is>
          <t>ÖSTERGÖTLANDS LÄN</t>
        </is>
      </c>
      <c r="G121" t="inlineStr">
        <is>
          <t>SÖDERKÖPING</t>
        </is>
      </c>
      <c r="I121" t="n">
        <v>3.6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6669-2026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46056</v>
      </c>
      <c r="E122" s="1" t="n">
        <v>46326</v>
      </c>
      <c r="F122" t="inlineStr">
        <is>
          <t>ÖSTERGÖTLANDS LÄN</t>
        </is>
      </c>
      <c r="G122" t="inlineStr">
        <is>
          <t>SÖDERKÖPING</t>
        </is>
      </c>
      <c r="I122" t="n">
        <v>3.4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50241-2022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44865</v>
      </c>
      <c r="E123" s="1" t="n">
        <v>46326</v>
      </c>
      <c r="F123" t="inlineStr">
        <is>
          <t>ÖSTERGÖTLANDS LÄN</t>
        </is>
      </c>
      <c r="G123" t="inlineStr">
        <is>
          <t>SÖDERKÖPING</t>
        </is>
      </c>
      <c r="I123" t="n">
        <v>1.3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26912-2023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45093</v>
      </c>
      <c r="E124" s="1" t="n">
        <v>46326</v>
      </c>
      <c r="F124" t="inlineStr">
        <is>
          <t>ÖSTERGÖTLANDS LÄN</t>
        </is>
      </c>
      <c r="G124" t="inlineStr">
        <is>
          <t>SÖDERKÖPING</t>
        </is>
      </c>
      <c r="I124" t="n">
        <v>1.1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29519-2023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45106</v>
      </c>
      <c r="E125" s="1" t="n">
        <v>46326</v>
      </c>
      <c r="F125" t="inlineStr">
        <is>
          <t>ÖSTERGÖTLANDS LÄN</t>
        </is>
      </c>
      <c r="G125" t="inlineStr">
        <is>
          <t>SÖDERKÖPING</t>
        </is>
      </c>
      <c r="I125" t="n">
        <v>1.1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33736-2023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45119</v>
      </c>
      <c r="E126" s="1" t="n">
        <v>46326</v>
      </c>
      <c r="F126" t="inlineStr">
        <is>
          <t>ÖSTERGÖTLANDS LÄN</t>
        </is>
      </c>
      <c r="G126" t="inlineStr">
        <is>
          <t>SÖDERKÖPING</t>
        </is>
      </c>
      <c r="I126" t="n">
        <v>1.7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6035-2023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44964</v>
      </c>
      <c r="E127" s="1" t="n">
        <v>46326</v>
      </c>
      <c r="F127" t="inlineStr">
        <is>
          <t>ÖSTERGÖTLANDS LÄN</t>
        </is>
      </c>
      <c r="G127" t="inlineStr">
        <is>
          <t>SÖDERKÖPING</t>
        </is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7452-2026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46059</v>
      </c>
      <c r="E128" s="1" t="n">
        <v>46326</v>
      </c>
      <c r="F128" t="inlineStr">
        <is>
          <t>ÖSTERGÖTLANDS LÄN</t>
        </is>
      </c>
      <c r="G128" t="inlineStr">
        <is>
          <t>SÖDERKÖPING</t>
        </is>
      </c>
      <c r="I128" t="n">
        <v>2.5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7440-2026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46059</v>
      </c>
      <c r="E129" s="1" t="n">
        <v>46326</v>
      </c>
      <c r="F129" t="inlineStr">
        <is>
          <t>ÖSTERGÖTLANDS LÄN</t>
        </is>
      </c>
      <c r="G129" t="inlineStr">
        <is>
          <t>SÖDERKÖPING</t>
        </is>
      </c>
      <c r="I129" t="n">
        <v>1.2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37684-2023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45159</v>
      </c>
      <c r="E130" s="1" t="n">
        <v>46326</v>
      </c>
      <c r="F130" t="inlineStr">
        <is>
          <t>ÖSTERGÖTLANDS LÄN</t>
        </is>
      </c>
      <c r="G130" t="inlineStr">
        <is>
          <t>SÖDERKÖPING</t>
        </is>
      </c>
      <c r="I130" t="n">
        <v>1.4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37687-2023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45159</v>
      </c>
      <c r="E131" s="1" t="n">
        <v>46326</v>
      </c>
      <c r="F131" t="inlineStr">
        <is>
          <t>ÖSTERGÖTLANDS LÄN</t>
        </is>
      </c>
      <c r="G131" t="inlineStr">
        <is>
          <t>SÖDERKÖPING</t>
        </is>
      </c>
      <c r="I131" t="n">
        <v>0.7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7830-2026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46061</v>
      </c>
      <c r="E132" s="1" t="n">
        <v>46326</v>
      </c>
      <c r="F132" t="inlineStr">
        <is>
          <t>ÖSTERGÖTLANDS LÄN</t>
        </is>
      </c>
      <c r="G132" t="inlineStr">
        <is>
          <t>SÖDERKÖPING</t>
        </is>
      </c>
      <c r="I132" t="n">
        <v>6.1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7852-2026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46062</v>
      </c>
      <c r="E133" s="1" t="n">
        <v>46326</v>
      </c>
      <c r="F133" t="inlineStr">
        <is>
          <t>ÖSTERGÖTLANDS LÄN</t>
        </is>
      </c>
      <c r="G133" t="inlineStr">
        <is>
          <t>SÖDERKÖPING</t>
        </is>
      </c>
      <c r="I133" t="n">
        <v>0.9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7836-2026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46062</v>
      </c>
      <c r="E134" s="1" t="n">
        <v>46326</v>
      </c>
      <c r="F134" t="inlineStr">
        <is>
          <t>ÖSTERGÖTLANDS LÄN</t>
        </is>
      </c>
      <c r="G134" t="inlineStr">
        <is>
          <t>SÖDERKÖPING</t>
        </is>
      </c>
      <c r="I134" t="n">
        <v>0.7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7822-2026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46062</v>
      </c>
      <c r="E135" s="1" t="n">
        <v>46326</v>
      </c>
      <c r="F135" t="inlineStr">
        <is>
          <t>ÖSTERGÖTLANDS LÄN</t>
        </is>
      </c>
      <c r="G135" t="inlineStr">
        <is>
          <t>SÖDERKÖPING</t>
        </is>
      </c>
      <c r="I135" t="n">
        <v>0.9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46422-2023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45197</v>
      </c>
      <c r="E136" s="1" t="n">
        <v>46326</v>
      </c>
      <c r="F136" t="inlineStr">
        <is>
          <t>ÖSTERGÖTLANDS LÄN</t>
        </is>
      </c>
      <c r="G136" t="inlineStr">
        <is>
          <t>SÖDERKÖPING</t>
        </is>
      </c>
      <c r="I136" t="n">
        <v>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38533-2025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45884</v>
      </c>
      <c r="E137" s="1" t="n">
        <v>46326</v>
      </c>
      <c r="F137" t="inlineStr">
        <is>
          <t>ÖSTERGÖTLANDS LÄN</t>
        </is>
      </c>
      <c r="G137" t="inlineStr">
        <is>
          <t>SÖDERKÖPING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58398-2023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45250</v>
      </c>
      <c r="E138" s="1" t="n">
        <v>46326</v>
      </c>
      <c r="F138" t="inlineStr">
        <is>
          <t>ÖSTERGÖTLANDS LÄN</t>
        </is>
      </c>
      <c r="G138" t="inlineStr">
        <is>
          <t>SÖDERKÖPING</t>
        </is>
      </c>
      <c r="H138" t="inlineStr">
        <is>
          <t>Holmen skog AB</t>
        </is>
      </c>
      <c r="I138" t="n">
        <v>0.5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9052-2026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46069</v>
      </c>
      <c r="E139" s="1" t="n">
        <v>46326</v>
      </c>
      <c r="F139" t="inlineStr">
        <is>
          <t>ÖSTERGÖTLANDS LÄN</t>
        </is>
      </c>
      <c r="G139" t="inlineStr">
        <is>
          <t>SÖDERKÖPING</t>
        </is>
      </c>
      <c r="I139" t="n">
        <v>1.2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35326-2022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44798</v>
      </c>
      <c r="E140" s="1" t="n">
        <v>46326</v>
      </c>
      <c r="F140" t="inlineStr">
        <is>
          <t>ÖSTERGÖTLANDS LÄN</t>
        </is>
      </c>
      <c r="G140" t="inlineStr">
        <is>
          <t>SÖDERKÖPING</t>
        </is>
      </c>
      <c r="I140" t="n">
        <v>1.9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14579-2025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45742</v>
      </c>
      <c r="E141" s="1" t="n">
        <v>46326</v>
      </c>
      <c r="F141" t="inlineStr">
        <is>
          <t>ÖSTERGÖTLANDS LÄN</t>
        </is>
      </c>
      <c r="G141" t="inlineStr">
        <is>
          <t>SÖDERKÖPING</t>
        </is>
      </c>
      <c r="I141" t="n">
        <v>2.4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11951-2024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45376</v>
      </c>
      <c r="E142" s="1" t="n">
        <v>46326</v>
      </c>
      <c r="F142" t="inlineStr">
        <is>
          <t>ÖSTERGÖTLANDS LÄN</t>
        </is>
      </c>
      <c r="G142" t="inlineStr">
        <is>
          <t>SÖDERKÖPING</t>
        </is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53874-2025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45961</v>
      </c>
      <c r="E143" s="1" t="n">
        <v>46326</v>
      </c>
      <c r="F143" t="inlineStr">
        <is>
          <t>ÖSTERGÖTLANDS LÄN</t>
        </is>
      </c>
      <c r="G143" t="inlineStr">
        <is>
          <t>SÖDERKÖPING</t>
        </is>
      </c>
      <c r="I143" t="n">
        <v>9.1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57888-2022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44900</v>
      </c>
      <c r="E144" s="1" t="n">
        <v>46326</v>
      </c>
      <c r="F144" t="inlineStr">
        <is>
          <t>ÖSTERGÖTLANDS LÄN</t>
        </is>
      </c>
      <c r="G144" t="inlineStr">
        <is>
          <t>SÖDERKÖPING</t>
        </is>
      </c>
      <c r="I144" t="n">
        <v>1.4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40351-2023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45169</v>
      </c>
      <c r="E145" s="1" t="n">
        <v>46326</v>
      </c>
      <c r="F145" t="inlineStr">
        <is>
          <t>ÖSTERGÖTLANDS LÄN</t>
        </is>
      </c>
      <c r="G145" t="inlineStr">
        <is>
          <t>SÖDERKÖPING</t>
        </is>
      </c>
      <c r="I145" t="n">
        <v>0.9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40356-2023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45169</v>
      </c>
      <c r="E146" s="1" t="n">
        <v>46326</v>
      </c>
      <c r="F146" t="inlineStr">
        <is>
          <t>ÖSTERGÖTLANDS LÄN</t>
        </is>
      </c>
      <c r="G146" t="inlineStr">
        <is>
          <t>SÖDERKÖPING</t>
        </is>
      </c>
      <c r="I146" t="n">
        <v>1.5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11005-2026</t>
        </is>
      </c>
      <c r="B147" t="inlineStr">
        <is>
          <t>avverkningsanmälan</t>
        </is>
      </c>
      <c r="C147" t="inlineStr">
        <is>
          <t>Avverkning för att bevara och utveckla /försöksver</t>
        </is>
      </c>
      <c r="D147" s="1" t="n">
        <v>46079</v>
      </c>
      <c r="E147" s="1" t="n">
        <v>46326</v>
      </c>
      <c r="F147" t="inlineStr">
        <is>
          <t>ÖSTERGÖTLANDS LÄN</t>
        </is>
      </c>
      <c r="G147" t="inlineStr">
        <is>
          <t>SÖDERKÖPING</t>
        </is>
      </c>
      <c r="H147" t="inlineStr">
        <is>
          <t>Kyrkan</t>
        </is>
      </c>
      <c r="I147" t="n">
        <v>5.1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61802-2022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44917</v>
      </c>
      <c r="E148" s="1" t="n">
        <v>46326</v>
      </c>
      <c r="F148" t="inlineStr">
        <is>
          <t>ÖSTERGÖTLANDS LÄN</t>
        </is>
      </c>
      <c r="G148" t="inlineStr">
        <is>
          <t>SÖDERKÖPING</t>
        </is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56163-2025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45974</v>
      </c>
      <c r="E149" s="1" t="n">
        <v>46326</v>
      </c>
      <c r="F149" t="inlineStr">
        <is>
          <t>ÖSTERGÖTLANDS LÄN</t>
        </is>
      </c>
      <c r="G149" t="inlineStr">
        <is>
          <t>SÖDERKÖPING</t>
        </is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31313-2024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45504</v>
      </c>
      <c r="E150" s="1" t="n">
        <v>46326</v>
      </c>
      <c r="F150" t="inlineStr">
        <is>
          <t>ÖSTERGÖTLANDS LÄN</t>
        </is>
      </c>
      <c r="G150" t="inlineStr">
        <is>
          <t>SÖDERKÖPING</t>
        </is>
      </c>
      <c r="I150" t="n">
        <v>0.9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56166-2025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45974</v>
      </c>
      <c r="E151" s="1" t="n">
        <v>46326</v>
      </c>
      <c r="F151" t="inlineStr">
        <is>
          <t>ÖSTERGÖTLANDS LÄN</t>
        </is>
      </c>
      <c r="G151" t="inlineStr">
        <is>
          <t>SÖDERKÖPING</t>
        </is>
      </c>
      <c r="I151" t="n">
        <v>2.4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50051-2023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45215</v>
      </c>
      <c r="E152" s="1" t="n">
        <v>46326</v>
      </c>
      <c r="F152" t="inlineStr">
        <is>
          <t>ÖSTERGÖTLANDS LÄN</t>
        </is>
      </c>
      <c r="G152" t="inlineStr">
        <is>
          <t>SÖDERKÖPING</t>
        </is>
      </c>
      <c r="I152" t="n">
        <v>0.7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11616-2026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46084</v>
      </c>
      <c r="E153" s="1" t="n">
        <v>46326</v>
      </c>
      <c r="F153" t="inlineStr">
        <is>
          <t>ÖSTERGÖTLANDS LÄN</t>
        </is>
      </c>
      <c r="G153" t="inlineStr">
        <is>
          <t>SÖDERKÖPING</t>
        </is>
      </c>
      <c r="I153" t="n">
        <v>0.6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11619-2026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46084</v>
      </c>
      <c r="E154" s="1" t="n">
        <v>46326</v>
      </c>
      <c r="F154" t="inlineStr">
        <is>
          <t>ÖSTERGÖTLANDS LÄN</t>
        </is>
      </c>
      <c r="G154" t="inlineStr">
        <is>
          <t>SÖDERKÖPING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49367-2023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45211</v>
      </c>
      <c r="E155" s="1" t="n">
        <v>46326</v>
      </c>
      <c r="F155" t="inlineStr">
        <is>
          <t>ÖSTERGÖTLANDS LÄN</t>
        </is>
      </c>
      <c r="G155" t="inlineStr">
        <is>
          <t>SÖDERKÖPING</t>
        </is>
      </c>
      <c r="I155" t="n">
        <v>2.2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58450-2025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45985</v>
      </c>
      <c r="E156" s="1" t="n">
        <v>46326</v>
      </c>
      <c r="F156" t="inlineStr">
        <is>
          <t>ÖSTERGÖTLANDS LÄN</t>
        </is>
      </c>
      <c r="G156" t="inlineStr">
        <is>
          <t>SÖDERKÖPING</t>
        </is>
      </c>
      <c r="I156" t="n">
        <v>0.4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2951-2024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45315</v>
      </c>
      <c r="E157" s="1" t="n">
        <v>46326</v>
      </c>
      <c r="F157" t="inlineStr">
        <is>
          <t>ÖSTERGÖTLANDS LÄN</t>
        </is>
      </c>
      <c r="G157" t="inlineStr">
        <is>
          <t>SÖDERKÖPING</t>
        </is>
      </c>
      <c r="I157" t="n">
        <v>0.6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34917-2022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44796</v>
      </c>
      <c r="E158" s="1" t="n">
        <v>46326</v>
      </c>
      <c r="F158" t="inlineStr">
        <is>
          <t>ÖSTERGÖTLANDS LÄN</t>
        </is>
      </c>
      <c r="G158" t="inlineStr">
        <is>
          <t>SÖDERKÖPING</t>
        </is>
      </c>
      <c r="I158" t="n">
        <v>3.1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15034-2024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45399</v>
      </c>
      <c r="E159" s="1" t="n">
        <v>46326</v>
      </c>
      <c r="F159" t="inlineStr">
        <is>
          <t>ÖSTERGÖTLANDS LÄN</t>
        </is>
      </c>
      <c r="G159" t="inlineStr">
        <is>
          <t>SÖDERKÖPING</t>
        </is>
      </c>
      <c r="I159" t="n">
        <v>1.9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3925-2025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45684</v>
      </c>
      <c r="E160" s="1" t="n">
        <v>46326</v>
      </c>
      <c r="F160" t="inlineStr">
        <is>
          <t>ÖSTERGÖTLANDS LÄN</t>
        </is>
      </c>
      <c r="G160" t="inlineStr">
        <is>
          <t>SÖDERKÖPING</t>
        </is>
      </c>
      <c r="I160" t="n">
        <v>0.4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69425-2021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44531</v>
      </c>
      <c r="E161" s="1" t="n">
        <v>46326</v>
      </c>
      <c r="F161" t="inlineStr">
        <is>
          <t>ÖSTERGÖTLANDS LÄN</t>
        </is>
      </c>
      <c r="G161" t="inlineStr">
        <is>
          <t>SÖDERKÖPING</t>
        </is>
      </c>
      <c r="I161" t="n">
        <v>0.8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7062-2025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45701</v>
      </c>
      <c r="E162" s="1" t="n">
        <v>46326</v>
      </c>
      <c r="F162" t="inlineStr">
        <is>
          <t>ÖSTERGÖTLANDS LÄN</t>
        </is>
      </c>
      <c r="G162" t="inlineStr">
        <is>
          <t>SÖDERKÖPING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1614-2023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44937</v>
      </c>
      <c r="E163" s="1" t="n">
        <v>46326</v>
      </c>
      <c r="F163" t="inlineStr">
        <is>
          <t>ÖSTERGÖTLANDS LÄN</t>
        </is>
      </c>
      <c r="G163" t="inlineStr">
        <is>
          <t>SÖDERKÖPING</t>
        </is>
      </c>
      <c r="I163" t="n">
        <v>1.7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61814-2025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46003</v>
      </c>
      <c r="E164" s="1" t="n">
        <v>46326</v>
      </c>
      <c r="F164" t="inlineStr">
        <is>
          <t>ÖSTERGÖTLANDS LÄN</t>
        </is>
      </c>
      <c r="G164" t="inlineStr">
        <is>
          <t>SÖDERKÖPING</t>
        </is>
      </c>
      <c r="I164" t="n">
        <v>1.7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61816-2025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46003</v>
      </c>
      <c r="E165" s="1" t="n">
        <v>46326</v>
      </c>
      <c r="F165" t="inlineStr">
        <is>
          <t>ÖSTERGÖTLANDS LÄN</t>
        </is>
      </c>
      <c r="G165" t="inlineStr">
        <is>
          <t>SÖDERKÖPING</t>
        </is>
      </c>
      <c r="I165" t="n">
        <v>2.7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61817-2025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46003</v>
      </c>
      <c r="E166" s="1" t="n">
        <v>46326</v>
      </c>
      <c r="F166" t="inlineStr">
        <is>
          <t>ÖSTERGÖTLANDS LÄN</t>
        </is>
      </c>
      <c r="G166" t="inlineStr">
        <is>
          <t>SÖDERKÖPING</t>
        </is>
      </c>
      <c r="I166" t="n">
        <v>3.6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61813-2025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46003</v>
      </c>
      <c r="E167" s="1" t="n">
        <v>46326</v>
      </c>
      <c r="F167" t="inlineStr">
        <is>
          <t>ÖSTERGÖTLANDS LÄN</t>
        </is>
      </c>
      <c r="G167" t="inlineStr">
        <is>
          <t>SÖDERKÖPING</t>
        </is>
      </c>
      <c r="I167" t="n">
        <v>1.3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42352-2023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45180</v>
      </c>
      <c r="E168" s="1" t="n">
        <v>46326</v>
      </c>
      <c r="F168" t="inlineStr">
        <is>
          <t>ÖSTERGÖTLANDS LÄN</t>
        </is>
      </c>
      <c r="G168" t="inlineStr">
        <is>
          <t>SÖDERKÖPING</t>
        </is>
      </c>
      <c r="H168" t="inlineStr">
        <is>
          <t>Allmännings- och besparingsskogar</t>
        </is>
      </c>
      <c r="I168" t="n">
        <v>4.5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18794-2024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45426</v>
      </c>
      <c r="E169" s="1" t="n">
        <v>46326</v>
      </c>
      <c r="F169" t="inlineStr">
        <is>
          <t>ÖSTERGÖTLANDS LÄN</t>
        </is>
      </c>
      <c r="G169" t="inlineStr">
        <is>
          <t>SÖDERKÖPING</t>
        </is>
      </c>
      <c r="I169" t="n">
        <v>0.7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62730-2025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46008</v>
      </c>
      <c r="E170" s="1" t="n">
        <v>46326</v>
      </c>
      <c r="F170" t="inlineStr">
        <is>
          <t>ÖSTERGÖTLANDS LÄN</t>
        </is>
      </c>
      <c r="G170" t="inlineStr">
        <is>
          <t>SÖDERKÖPING</t>
        </is>
      </c>
      <c r="I170" t="n">
        <v>1.9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62724-2025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46008</v>
      </c>
      <c r="E171" s="1" t="n">
        <v>46326</v>
      </c>
      <c r="F171" t="inlineStr">
        <is>
          <t>ÖSTERGÖTLANDS LÄN</t>
        </is>
      </c>
      <c r="G171" t="inlineStr">
        <is>
          <t>SÖDERKÖPING</t>
        </is>
      </c>
      <c r="I171" t="n">
        <v>0.8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14552-2026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46100</v>
      </c>
      <c r="E172" s="1" t="n">
        <v>46326</v>
      </c>
      <c r="F172" t="inlineStr">
        <is>
          <t>ÖSTERGÖTLANDS LÄN</t>
        </is>
      </c>
      <c r="G172" t="inlineStr">
        <is>
          <t>SÖDERKÖPING</t>
        </is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66362-2021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44518</v>
      </c>
      <c r="E173" s="1" t="n">
        <v>46326</v>
      </c>
      <c r="F173" t="inlineStr">
        <is>
          <t>ÖSTERGÖTLANDS LÄN</t>
        </is>
      </c>
      <c r="G173" t="inlineStr">
        <is>
          <t>SÖDERKÖPING</t>
        </is>
      </c>
      <c r="I173" t="n">
        <v>1.1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38646-2024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45546</v>
      </c>
      <c r="E174" s="1" t="n">
        <v>46326</v>
      </c>
      <c r="F174" t="inlineStr">
        <is>
          <t>ÖSTERGÖTLANDS LÄN</t>
        </is>
      </c>
      <c r="G174" t="inlineStr">
        <is>
          <t>SÖDERKÖPING</t>
        </is>
      </c>
      <c r="I174" t="n">
        <v>0.4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29514-2023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45106</v>
      </c>
      <c r="E175" s="1" t="n">
        <v>46326</v>
      </c>
      <c r="F175" t="inlineStr">
        <is>
          <t>ÖSTERGÖTLANDS LÄN</t>
        </is>
      </c>
      <c r="G175" t="inlineStr">
        <is>
          <t>SÖDERKÖPING</t>
        </is>
      </c>
      <c r="I175" t="n">
        <v>2.6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15462-2026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46106</v>
      </c>
      <c r="E176" s="1" t="n">
        <v>46326</v>
      </c>
      <c r="F176" t="inlineStr">
        <is>
          <t>ÖSTERGÖTLANDS LÄN</t>
        </is>
      </c>
      <c r="G176" t="inlineStr">
        <is>
          <t>SÖDERKÖPING</t>
        </is>
      </c>
      <c r="I176" t="n">
        <v>2.9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45457-2023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45194</v>
      </c>
      <c r="E177" s="1" t="n">
        <v>46326</v>
      </c>
      <c r="F177" t="inlineStr">
        <is>
          <t>ÖSTERGÖTLANDS LÄN</t>
        </is>
      </c>
      <c r="G177" t="inlineStr">
        <is>
          <t>SÖDERKÖPING</t>
        </is>
      </c>
      <c r="I177" t="n">
        <v>0.6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16248-2026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46111</v>
      </c>
      <c r="E178" s="1" t="n">
        <v>46326</v>
      </c>
      <c r="F178" t="inlineStr">
        <is>
          <t>ÖSTERGÖTLANDS LÄN</t>
        </is>
      </c>
      <c r="G178" t="inlineStr">
        <is>
          <t>SÖDERKÖPING</t>
        </is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49569-2022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44862</v>
      </c>
      <c r="E179" s="1" t="n">
        <v>46326</v>
      </c>
      <c r="F179" t="inlineStr">
        <is>
          <t>ÖSTERGÖTLANDS LÄN</t>
        </is>
      </c>
      <c r="G179" t="inlineStr">
        <is>
          <t>SÖDERKÖPING</t>
        </is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16232-2026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46111</v>
      </c>
      <c r="E180" s="1" t="n">
        <v>46326</v>
      </c>
      <c r="F180" t="inlineStr">
        <is>
          <t>ÖSTERGÖTLANDS LÄN</t>
        </is>
      </c>
      <c r="G180" t="inlineStr">
        <is>
          <t>SÖDERKÖPING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4318-2023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44953</v>
      </c>
      <c r="E181" s="1" t="n">
        <v>46326</v>
      </c>
      <c r="F181" t="inlineStr">
        <is>
          <t>ÖSTERGÖTLANDS LÄN</t>
        </is>
      </c>
      <c r="G181" t="inlineStr">
        <is>
          <t>SÖDERKÖPING</t>
        </is>
      </c>
      <c r="I181" t="n">
        <v>2.7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44174-2023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45188</v>
      </c>
      <c r="E182" s="1" t="n">
        <v>46326</v>
      </c>
      <c r="F182" t="inlineStr">
        <is>
          <t>ÖSTERGÖTLANDS LÄN</t>
        </is>
      </c>
      <c r="G182" t="inlineStr">
        <is>
          <t>SÖDERKÖPING</t>
        </is>
      </c>
      <c r="I182" t="n">
        <v>0.7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50590-2024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45601</v>
      </c>
      <c r="E183" s="1" t="n">
        <v>46326</v>
      </c>
      <c r="F183" t="inlineStr">
        <is>
          <t>ÖSTERGÖTLANDS LÄN</t>
        </is>
      </c>
      <c r="G183" t="inlineStr">
        <is>
          <t>SÖDERKÖPING</t>
        </is>
      </c>
      <c r="I183" t="n">
        <v>2.6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57255-2024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45629</v>
      </c>
      <c r="E184" s="1" t="n">
        <v>46326</v>
      </c>
      <c r="F184" t="inlineStr">
        <is>
          <t>ÖSTERGÖTLANDS LÄN</t>
        </is>
      </c>
      <c r="G184" t="inlineStr">
        <is>
          <t>SÖDERKÖPING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58223-2022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44901</v>
      </c>
      <c r="E185" s="1" t="n">
        <v>46326</v>
      </c>
      <c r="F185" t="inlineStr">
        <is>
          <t>ÖSTERGÖTLANDS LÄN</t>
        </is>
      </c>
      <c r="G185" t="inlineStr">
        <is>
          <t>SÖDERKÖPING</t>
        </is>
      </c>
      <c r="I185" t="n">
        <v>2.4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1293-2025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45667</v>
      </c>
      <c r="E186" s="1" t="n">
        <v>46326</v>
      </c>
      <c r="F186" t="inlineStr">
        <is>
          <t>ÖSTERGÖTLANDS LÄN</t>
        </is>
      </c>
      <c r="G186" t="inlineStr">
        <is>
          <t>SÖDERKÖPING</t>
        </is>
      </c>
      <c r="I186" t="n">
        <v>1.3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9799-2023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44984</v>
      </c>
      <c r="E187" s="1" t="n">
        <v>46326</v>
      </c>
      <c r="F187" t="inlineStr">
        <is>
          <t>ÖSTERGÖTLANDS LÄN</t>
        </is>
      </c>
      <c r="G187" t="inlineStr">
        <is>
          <t>SÖDERKÖPING</t>
        </is>
      </c>
      <c r="H187" t="inlineStr">
        <is>
          <t>Allmännings- och besparingsskogar</t>
        </is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37692-2023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45159</v>
      </c>
      <c r="E188" s="1" t="n">
        <v>46326</v>
      </c>
      <c r="F188" t="inlineStr">
        <is>
          <t>ÖSTERGÖTLANDS LÄN</t>
        </is>
      </c>
      <c r="G188" t="inlineStr">
        <is>
          <t>SÖDERKÖPING</t>
        </is>
      </c>
      <c r="I188" t="n">
        <v>2.4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19661-2026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46134</v>
      </c>
      <c r="E189" s="1" t="n">
        <v>46326</v>
      </c>
      <c r="F189" t="inlineStr">
        <is>
          <t>ÖSTERGÖTLANDS LÄN</t>
        </is>
      </c>
      <c r="G189" t="inlineStr">
        <is>
          <t>SÖDERKÖPING</t>
        </is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32641-2025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45838</v>
      </c>
      <c r="E190" s="1" t="n">
        <v>46326</v>
      </c>
      <c r="F190" t="inlineStr">
        <is>
          <t>ÖSTERGÖTLANDS LÄN</t>
        </is>
      </c>
      <c r="G190" t="inlineStr">
        <is>
          <t>SÖDERKÖPING</t>
        </is>
      </c>
      <c r="I190" t="n">
        <v>2.3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17357-2025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45756</v>
      </c>
      <c r="E191" s="1" t="n">
        <v>46326</v>
      </c>
      <c r="F191" t="inlineStr">
        <is>
          <t>ÖSTERGÖTLANDS LÄN</t>
        </is>
      </c>
      <c r="G191" t="inlineStr">
        <is>
          <t>SÖDERKÖPING</t>
        </is>
      </c>
      <c r="I191" t="n">
        <v>1.1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21416-2025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45782</v>
      </c>
      <c r="E192" s="1" t="n">
        <v>46326</v>
      </c>
      <c r="F192" t="inlineStr">
        <is>
          <t>ÖSTERGÖTLANDS LÄN</t>
        </is>
      </c>
      <c r="G192" t="inlineStr">
        <is>
          <t>SÖDERKÖPING</t>
        </is>
      </c>
      <c r="I192" t="n">
        <v>3.1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225-2023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44928</v>
      </c>
      <c r="E193" s="1" t="n">
        <v>46326</v>
      </c>
      <c r="F193" t="inlineStr">
        <is>
          <t>ÖSTERGÖTLANDS LÄN</t>
        </is>
      </c>
      <c r="G193" t="inlineStr">
        <is>
          <t>SÖDERKÖPING</t>
        </is>
      </c>
      <c r="I193" t="n">
        <v>1.9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36734-2022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44805</v>
      </c>
      <c r="E194" s="1" t="n">
        <v>46326</v>
      </c>
      <c r="F194" t="inlineStr">
        <is>
          <t>ÖSTERGÖTLANDS LÄN</t>
        </is>
      </c>
      <c r="G194" t="inlineStr">
        <is>
          <t>SÖDERKÖPING</t>
        </is>
      </c>
      <c r="I194" t="n">
        <v>2.8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20262-2026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46139</v>
      </c>
      <c r="E195" s="1" t="n">
        <v>46326</v>
      </c>
      <c r="F195" t="inlineStr">
        <is>
          <t>ÖSTERGÖTLANDS LÄN</t>
        </is>
      </c>
      <c r="G195" t="inlineStr">
        <is>
          <t>SÖDERKÖPING</t>
        </is>
      </c>
      <c r="I195" t="n">
        <v>3.3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59876-2023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45257</v>
      </c>
      <c r="E196" s="1" t="n">
        <v>46326</v>
      </c>
      <c r="F196" t="inlineStr">
        <is>
          <t>ÖSTERGÖTLANDS LÄN</t>
        </is>
      </c>
      <c r="G196" t="inlineStr">
        <is>
          <t>SÖDERKÖPING</t>
        </is>
      </c>
      <c r="I196" t="n">
        <v>1.4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33735-2023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45119</v>
      </c>
      <c r="E197" s="1" t="n">
        <v>46326</v>
      </c>
      <c r="F197" t="inlineStr">
        <is>
          <t>ÖSTERGÖTLANDS LÄN</t>
        </is>
      </c>
      <c r="G197" t="inlineStr">
        <is>
          <t>SÖDERKÖPING</t>
        </is>
      </c>
      <c r="I197" t="n">
        <v>3.6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46742-2025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45926</v>
      </c>
      <c r="E198" s="1" t="n">
        <v>46326</v>
      </c>
      <c r="F198" t="inlineStr">
        <is>
          <t>ÖSTERGÖTLANDS LÄN</t>
        </is>
      </c>
      <c r="G198" t="inlineStr">
        <is>
          <t>SÖDERKÖPING</t>
        </is>
      </c>
      <c r="I198" t="n">
        <v>1.9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54787-2022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44883</v>
      </c>
      <c r="E199" s="1" t="n">
        <v>46326</v>
      </c>
      <c r="F199" t="inlineStr">
        <is>
          <t>ÖSTERGÖTLANDS LÄN</t>
        </is>
      </c>
      <c r="G199" t="inlineStr">
        <is>
          <t>SÖDERKÖPING</t>
        </is>
      </c>
      <c r="I199" t="n">
        <v>2.8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45549-2023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45194</v>
      </c>
      <c r="E200" s="1" t="n">
        <v>46326</v>
      </c>
      <c r="F200" t="inlineStr">
        <is>
          <t>ÖSTERGÖTLANDS LÄN</t>
        </is>
      </c>
      <c r="G200" t="inlineStr">
        <is>
          <t>SÖDERKÖPING</t>
        </is>
      </c>
      <c r="I200" t="n">
        <v>0.6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46781-2025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45926</v>
      </c>
      <c r="E201" s="1" t="n">
        <v>46326</v>
      </c>
      <c r="F201" t="inlineStr">
        <is>
          <t>ÖSTERGÖTLANDS LÄN</t>
        </is>
      </c>
      <c r="G201" t="inlineStr">
        <is>
          <t>SÖDERKÖPING</t>
        </is>
      </c>
      <c r="I201" t="n">
        <v>2.3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44834-2023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45190</v>
      </c>
      <c r="E202" s="1" t="n">
        <v>46326</v>
      </c>
      <c r="F202" t="inlineStr">
        <is>
          <t>ÖSTERGÖTLANDS LÄN</t>
        </is>
      </c>
      <c r="G202" t="inlineStr">
        <is>
          <t>SÖDERKÖPING</t>
        </is>
      </c>
      <c r="I202" t="n">
        <v>1.3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19974-2026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46136</v>
      </c>
      <c r="E203" s="1" t="n">
        <v>46326</v>
      </c>
      <c r="F203" t="inlineStr">
        <is>
          <t>ÖSTERGÖTLANDS LÄN</t>
        </is>
      </c>
      <c r="G203" t="inlineStr">
        <is>
          <t>SÖDERKÖPING</t>
        </is>
      </c>
      <c r="I203" t="n">
        <v>0.6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13055-2025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45734</v>
      </c>
      <c r="E204" s="1" t="n">
        <v>46326</v>
      </c>
      <c r="F204" t="inlineStr">
        <is>
          <t>ÖSTERGÖTLANDS LÄN</t>
        </is>
      </c>
      <c r="G204" t="inlineStr">
        <is>
          <t>SÖDERKÖPING</t>
        </is>
      </c>
      <c r="I204" t="n">
        <v>2.7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20301-2026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46139</v>
      </c>
      <c r="E205" s="1" t="n">
        <v>46326</v>
      </c>
      <c r="F205" t="inlineStr">
        <is>
          <t>ÖSTERGÖTLANDS LÄN</t>
        </is>
      </c>
      <c r="G205" t="inlineStr">
        <is>
          <t>SÖDERKÖPING</t>
        </is>
      </c>
      <c r="I205" t="n">
        <v>0.5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4491-2023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44956</v>
      </c>
      <c r="E206" s="1" t="n">
        <v>46326</v>
      </c>
      <c r="F206" t="inlineStr">
        <is>
          <t>ÖSTERGÖTLANDS LÄN</t>
        </is>
      </c>
      <c r="G206" t="inlineStr">
        <is>
          <t>SÖDERKÖPING</t>
        </is>
      </c>
      <c r="I206" t="n">
        <v>0.6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60640-2022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44911</v>
      </c>
      <c r="E207" s="1" t="n">
        <v>46326</v>
      </c>
      <c r="F207" t="inlineStr">
        <is>
          <t>ÖSTERGÖTLANDS LÄN</t>
        </is>
      </c>
      <c r="G207" t="inlineStr">
        <is>
          <t>SÖDERKÖPING</t>
        </is>
      </c>
      <c r="H207" t="inlineStr">
        <is>
          <t>Allmännings- och besparingsskogar</t>
        </is>
      </c>
      <c r="I207" t="n">
        <v>10.8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20684-2026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46141</v>
      </c>
      <c r="E208" s="1" t="n">
        <v>46326</v>
      </c>
      <c r="F208" t="inlineStr">
        <is>
          <t>ÖSTERGÖTLANDS LÄN</t>
        </is>
      </c>
      <c r="G208" t="inlineStr">
        <is>
          <t>SÖDERKÖPING</t>
        </is>
      </c>
      <c r="I208" t="n">
        <v>6.3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64825-2023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45282</v>
      </c>
      <c r="E209" s="1" t="n">
        <v>46326</v>
      </c>
      <c r="F209" t="inlineStr">
        <is>
          <t>ÖSTERGÖTLANDS LÄN</t>
        </is>
      </c>
      <c r="G209" t="inlineStr">
        <is>
          <t>SÖDERKÖPING</t>
        </is>
      </c>
      <c r="I209" t="n">
        <v>2.5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66075-2021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44517</v>
      </c>
      <c r="E210" s="1" t="n">
        <v>46326</v>
      </c>
      <c r="F210" t="inlineStr">
        <is>
          <t>ÖSTERGÖTLANDS LÄN</t>
        </is>
      </c>
      <c r="G210" t="inlineStr">
        <is>
          <t>SÖDERKÖPING</t>
        </is>
      </c>
      <c r="H210" t="inlineStr">
        <is>
          <t>Kyrkan</t>
        </is>
      </c>
      <c r="I210" t="n">
        <v>3.7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20688-2026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46141</v>
      </c>
      <c r="E211" s="1" t="n">
        <v>46326</v>
      </c>
      <c r="F211" t="inlineStr">
        <is>
          <t>ÖSTERGÖTLANDS LÄN</t>
        </is>
      </c>
      <c r="G211" t="inlineStr">
        <is>
          <t>SÖDERKÖPING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6535-2023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44966</v>
      </c>
      <c r="E212" s="1" t="n">
        <v>46326</v>
      </c>
      <c r="F212" t="inlineStr">
        <is>
          <t>ÖSTERGÖTLANDS LÄN</t>
        </is>
      </c>
      <c r="G212" t="inlineStr">
        <is>
          <t>SÖDERKÖPING</t>
        </is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34979-2025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45849</v>
      </c>
      <c r="E213" s="1" t="n">
        <v>46326</v>
      </c>
      <c r="F213" t="inlineStr">
        <is>
          <t>ÖSTERGÖTLANDS LÄN</t>
        </is>
      </c>
      <c r="G213" t="inlineStr">
        <is>
          <t>SÖDERKÖPING</t>
        </is>
      </c>
      <c r="I213" t="n">
        <v>2.8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20703-2026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46141</v>
      </c>
      <c r="E214" s="1" t="n">
        <v>46326</v>
      </c>
      <c r="F214" t="inlineStr">
        <is>
          <t>ÖSTERGÖTLANDS LÄN</t>
        </is>
      </c>
      <c r="G214" t="inlineStr">
        <is>
          <t>SÖDERKÖPING</t>
        </is>
      </c>
      <c r="I214" t="n">
        <v>4.2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20705-2026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46141</v>
      </c>
      <c r="E215" s="1" t="n">
        <v>46326</v>
      </c>
      <c r="F215" t="inlineStr">
        <is>
          <t>ÖSTERGÖTLANDS LÄN</t>
        </is>
      </c>
      <c r="G215" t="inlineStr">
        <is>
          <t>SÖDERKÖPING</t>
        </is>
      </c>
      <c r="I215" t="n">
        <v>1.8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8799-2023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44978</v>
      </c>
      <c r="E216" s="1" t="n">
        <v>46326</v>
      </c>
      <c r="F216" t="inlineStr">
        <is>
          <t>ÖSTERGÖTLANDS LÄN</t>
        </is>
      </c>
      <c r="G216" t="inlineStr">
        <is>
          <t>SÖDERKÖPING</t>
        </is>
      </c>
      <c r="H216" t="inlineStr">
        <is>
          <t>Allmännings- och besparingsskogar</t>
        </is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9734-2023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44984</v>
      </c>
      <c r="E217" s="1" t="n">
        <v>46326</v>
      </c>
      <c r="F217" t="inlineStr">
        <is>
          <t>ÖSTERGÖTLANDS LÄN</t>
        </is>
      </c>
      <c r="G217" t="inlineStr">
        <is>
          <t>SÖDERKÖPING</t>
        </is>
      </c>
      <c r="H217" t="inlineStr">
        <is>
          <t>Allmännings- och besparingsskogar</t>
        </is>
      </c>
      <c r="I217" t="n">
        <v>6.7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50050-2023</t>
        </is>
      </c>
      <c r="B218" t="inlineStr">
        <is>
          <t>avverkningsanmälan</t>
        </is>
      </c>
      <c r="C218" t="inlineStr">
        <is>
          <t>Avverkning för annat ändamål</t>
        </is>
      </c>
      <c r="D218" s="1" t="n">
        <v>45215</v>
      </c>
      <c r="E218" s="1" t="n">
        <v>46326</v>
      </c>
      <c r="F218" t="inlineStr">
        <is>
          <t>ÖSTERGÖTLANDS LÄN</t>
        </is>
      </c>
      <c r="G218" t="inlineStr">
        <is>
          <t>SÖDERKÖPING</t>
        </is>
      </c>
      <c r="I218" t="n">
        <v>1.9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20776-2023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45058</v>
      </c>
      <c r="E219" s="1" t="n">
        <v>46326</v>
      </c>
      <c r="F219" t="inlineStr">
        <is>
          <t>ÖSTERGÖTLANDS LÄN</t>
        </is>
      </c>
      <c r="G219" t="inlineStr">
        <is>
          <t>SÖDERKÖPING</t>
        </is>
      </c>
      <c r="I219" t="n">
        <v>1.3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3919-2025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45684</v>
      </c>
      <c r="E220" s="1" t="n">
        <v>46326</v>
      </c>
      <c r="F220" t="inlineStr">
        <is>
          <t>ÖSTERGÖTLANDS LÄN</t>
        </is>
      </c>
      <c r="G220" t="inlineStr">
        <is>
          <t>SÖDERKÖPING</t>
        </is>
      </c>
      <c r="I220" t="n">
        <v>0.4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21893-2026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46150</v>
      </c>
      <c r="E221" s="1" t="n">
        <v>46326</v>
      </c>
      <c r="F221" t="inlineStr">
        <is>
          <t>ÖSTERGÖTLANDS LÄN</t>
        </is>
      </c>
      <c r="G221" t="inlineStr">
        <is>
          <t>SÖDERKÖPING</t>
        </is>
      </c>
      <c r="I221" t="n">
        <v>3.2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7208-2024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45344</v>
      </c>
      <c r="E222" s="1" t="n">
        <v>46326</v>
      </c>
      <c r="F222" t="inlineStr">
        <is>
          <t>ÖSTERGÖTLANDS LÄN</t>
        </is>
      </c>
      <c r="G222" t="inlineStr">
        <is>
          <t>SÖDERKÖPING</t>
        </is>
      </c>
      <c r="I222" t="n">
        <v>0.5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20783-2023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45058</v>
      </c>
      <c r="E223" s="1" t="n">
        <v>46326</v>
      </c>
      <c r="F223" t="inlineStr">
        <is>
          <t>ÖSTERGÖTLANDS LÄN</t>
        </is>
      </c>
      <c r="G223" t="inlineStr">
        <is>
          <t>SÖDERKÖPING</t>
        </is>
      </c>
      <c r="I223" t="n">
        <v>1.2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4498-2023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44956</v>
      </c>
      <c r="E224" s="1" t="n">
        <v>46326</v>
      </c>
      <c r="F224" t="inlineStr">
        <is>
          <t>ÖSTERGÖTLANDS LÄN</t>
        </is>
      </c>
      <c r="G224" t="inlineStr">
        <is>
          <t>SÖDERKÖPING</t>
        </is>
      </c>
      <c r="I224" t="n">
        <v>0.3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23120-2026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46161</v>
      </c>
      <c r="E225" s="1" t="n">
        <v>46326</v>
      </c>
      <c r="F225" t="inlineStr">
        <is>
          <t>ÖSTERGÖTLANDS LÄN</t>
        </is>
      </c>
      <c r="G225" t="inlineStr">
        <is>
          <t>SÖDERKÖPING</t>
        </is>
      </c>
      <c r="I225" t="n">
        <v>5.5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21901-2022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44711</v>
      </c>
      <c r="E226" s="1" t="n">
        <v>46326</v>
      </c>
      <c r="F226" t="inlineStr">
        <is>
          <t>ÖSTERGÖTLANDS LÄN</t>
        </is>
      </c>
      <c r="G226" t="inlineStr">
        <is>
          <t>SÖDERKÖPING</t>
        </is>
      </c>
      <c r="I226" t="n">
        <v>3.9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50870-2023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45218</v>
      </c>
      <c r="E227" s="1" t="n">
        <v>46326</v>
      </c>
      <c r="F227" t="inlineStr">
        <is>
          <t>ÖSTERGÖTLANDS LÄN</t>
        </is>
      </c>
      <c r="G227" t="inlineStr">
        <is>
          <t>SÖDERKÖPING</t>
        </is>
      </c>
      <c r="I227" t="n">
        <v>2.9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23518-2026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46163</v>
      </c>
      <c r="E228" s="1" t="n">
        <v>46326</v>
      </c>
      <c r="F228" t="inlineStr">
        <is>
          <t>ÖSTERGÖTLANDS LÄN</t>
        </is>
      </c>
      <c r="G228" t="inlineStr">
        <is>
          <t>SÖDERKÖPING</t>
        </is>
      </c>
      <c r="H228" t="inlineStr">
        <is>
          <t>Allmännings- och besparingsskogar</t>
        </is>
      </c>
      <c r="I228" t="n">
        <v>6.5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9746-2022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44618</v>
      </c>
      <c r="E229" s="1" t="n">
        <v>46326</v>
      </c>
      <c r="F229" t="inlineStr">
        <is>
          <t>ÖSTERGÖTLANDS LÄN</t>
        </is>
      </c>
      <c r="G229" t="inlineStr">
        <is>
          <t>SÖDERKÖPING</t>
        </is>
      </c>
      <c r="I229" t="n">
        <v>6.8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75-2024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45293</v>
      </c>
      <c r="E230" s="1" t="n">
        <v>46326</v>
      </c>
      <c r="F230" t="inlineStr">
        <is>
          <t>ÖSTERGÖTLANDS LÄN</t>
        </is>
      </c>
      <c r="G230" t="inlineStr">
        <is>
          <t>SÖDERKÖPING</t>
        </is>
      </c>
      <c r="I230" t="n">
        <v>1.2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42753-2023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45181</v>
      </c>
      <c r="E231" s="1" t="n">
        <v>46326</v>
      </c>
      <c r="F231" t="inlineStr">
        <is>
          <t>ÖSTERGÖTLANDS LÄN</t>
        </is>
      </c>
      <c r="G231" t="inlineStr">
        <is>
          <t>SÖDERKÖPING</t>
        </is>
      </c>
      <c r="I231" t="n">
        <v>0.5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23785-2026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46164</v>
      </c>
      <c r="E232" s="1" t="n">
        <v>46326</v>
      </c>
      <c r="F232" t="inlineStr">
        <is>
          <t>ÖSTERGÖTLANDS LÄN</t>
        </is>
      </c>
      <c r="G232" t="inlineStr">
        <is>
          <t>SÖDERKÖPING</t>
        </is>
      </c>
      <c r="H232" t="inlineStr">
        <is>
          <t>Holmen skog AB</t>
        </is>
      </c>
      <c r="I232" t="n">
        <v>2.9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24690-2026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46171</v>
      </c>
      <c r="E233" s="1" t="n">
        <v>46326</v>
      </c>
      <c r="F233" t="inlineStr">
        <is>
          <t>ÖSTERGÖTLANDS LÄN</t>
        </is>
      </c>
      <c r="G233" t="inlineStr">
        <is>
          <t>SÖDERKÖPING</t>
        </is>
      </c>
      <c r="H233" t="inlineStr">
        <is>
          <t>Holmen skog AB</t>
        </is>
      </c>
      <c r="I233" t="n">
        <v>0.9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24875-2026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46174</v>
      </c>
      <c r="E234" s="1" t="n">
        <v>46326</v>
      </c>
      <c r="F234" t="inlineStr">
        <is>
          <t>ÖSTERGÖTLANDS LÄN</t>
        </is>
      </c>
      <c r="G234" t="inlineStr">
        <is>
          <t>SÖDERKÖPING</t>
        </is>
      </c>
      <c r="I234" t="n">
        <v>2.3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48555-2023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45208</v>
      </c>
      <c r="E235" s="1" t="n">
        <v>46326</v>
      </c>
      <c r="F235" t="inlineStr">
        <is>
          <t>ÖSTERGÖTLANDS LÄN</t>
        </is>
      </c>
      <c r="G235" t="inlineStr">
        <is>
          <t>SÖDERKÖPING</t>
        </is>
      </c>
      <c r="H235" t="inlineStr">
        <is>
          <t>Holmen skog AB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53315-2024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45614</v>
      </c>
      <c r="E236" s="1" t="n">
        <v>46326</v>
      </c>
      <c r="F236" t="inlineStr">
        <is>
          <t>ÖSTERGÖTLANDS LÄN</t>
        </is>
      </c>
      <c r="G236" t="inlineStr">
        <is>
          <t>SÖDERKÖPING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22208-2026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46153</v>
      </c>
      <c r="E237" s="1" t="n">
        <v>46326</v>
      </c>
      <c r="F237" t="inlineStr">
        <is>
          <t>ÖSTERGÖTLANDS LÄN</t>
        </is>
      </c>
      <c r="G237" t="inlineStr">
        <is>
          <t>SÖDERKÖPING</t>
        </is>
      </c>
      <c r="I237" t="n">
        <v>3.4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3786-2023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44951</v>
      </c>
      <c r="E238" s="1" t="n">
        <v>46326</v>
      </c>
      <c r="F238" t="inlineStr">
        <is>
          <t>ÖSTERGÖTLANDS LÄN</t>
        </is>
      </c>
      <c r="G238" t="inlineStr">
        <is>
          <t>SÖDERKÖPING</t>
        </is>
      </c>
      <c r="I238" t="n">
        <v>2.3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43889-2023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45187</v>
      </c>
      <c r="E239" s="1" t="n">
        <v>46326</v>
      </c>
      <c r="F239" t="inlineStr">
        <is>
          <t>ÖSTERGÖTLANDS LÄN</t>
        </is>
      </c>
      <c r="G239" t="inlineStr">
        <is>
          <t>SÖDERKÖPING</t>
        </is>
      </c>
      <c r="I239" t="n">
        <v>1.9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43891-2023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45187</v>
      </c>
      <c r="E240" s="1" t="n">
        <v>46326</v>
      </c>
      <c r="F240" t="inlineStr">
        <is>
          <t>ÖSTERGÖTLANDS LÄN</t>
        </is>
      </c>
      <c r="G240" t="inlineStr">
        <is>
          <t>SÖDERKÖPING</t>
        </is>
      </c>
      <c r="I240" t="n">
        <v>1.6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26439-2026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46183</v>
      </c>
      <c r="E241" s="1" t="n">
        <v>46326</v>
      </c>
      <c r="F241" t="inlineStr">
        <is>
          <t>ÖSTERGÖTLANDS LÄN</t>
        </is>
      </c>
      <c r="G241" t="inlineStr">
        <is>
          <t>SÖDERKÖPING</t>
        </is>
      </c>
      <c r="I241" t="n">
        <v>0.5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26573-2026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46183</v>
      </c>
      <c r="E242" s="1" t="n">
        <v>46326</v>
      </c>
      <c r="F242" t="inlineStr">
        <is>
          <t>ÖSTERGÖTLANDS LÄN</t>
        </is>
      </c>
      <c r="G242" t="inlineStr">
        <is>
          <t>SÖDERKÖPING</t>
        </is>
      </c>
      <c r="I242" t="n">
        <v>3.2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26576-2026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46183</v>
      </c>
      <c r="E243" s="1" t="n">
        <v>46326</v>
      </c>
      <c r="F243" t="inlineStr">
        <is>
          <t>ÖSTERGÖTLANDS LÄN</t>
        </is>
      </c>
      <c r="G243" t="inlineStr">
        <is>
          <t>SÖDERKÖPING</t>
        </is>
      </c>
      <c r="I243" t="n">
        <v>2.1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356-2024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45295</v>
      </c>
      <c r="E244" s="1" t="n">
        <v>46326</v>
      </c>
      <c r="F244" t="inlineStr">
        <is>
          <t>ÖSTERGÖTLANDS LÄN</t>
        </is>
      </c>
      <c r="G244" t="inlineStr">
        <is>
          <t>SÖDERKÖPING</t>
        </is>
      </c>
      <c r="I244" t="n">
        <v>2.8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6546-2023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44966</v>
      </c>
      <c r="E245" s="1" t="n">
        <v>46326</v>
      </c>
      <c r="F245" t="inlineStr">
        <is>
          <t>ÖSTERGÖTLANDS LÄN</t>
        </is>
      </c>
      <c r="G245" t="inlineStr">
        <is>
          <t>SÖDERKÖPING</t>
        </is>
      </c>
      <c r="I245" t="n">
        <v>0.7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26582-2026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46183</v>
      </c>
      <c r="E246" s="1" t="n">
        <v>46326</v>
      </c>
      <c r="F246" t="inlineStr">
        <is>
          <t>ÖSTERGÖTLANDS LÄN</t>
        </is>
      </c>
      <c r="G246" t="inlineStr">
        <is>
          <t>SÖDERKÖPING</t>
        </is>
      </c>
      <c r="I246" t="n">
        <v>1.5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26554-2026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46183</v>
      </c>
      <c r="E247" s="1" t="n">
        <v>46326</v>
      </c>
      <c r="F247" t="inlineStr">
        <is>
          <t>ÖSTERGÖTLANDS LÄN</t>
        </is>
      </c>
      <c r="G247" t="inlineStr">
        <is>
          <t>SÖDERKÖPING</t>
        </is>
      </c>
      <c r="I247" t="n">
        <v>1.1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20967-2023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45061</v>
      </c>
      <c r="E248" s="1" t="n">
        <v>46326</v>
      </c>
      <c r="F248" t="inlineStr">
        <is>
          <t>ÖSTERGÖTLANDS LÄN</t>
        </is>
      </c>
      <c r="G248" t="inlineStr">
        <is>
          <t>SÖDERKÖPING</t>
        </is>
      </c>
      <c r="I248" t="n">
        <v>1.3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26550-2026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46183</v>
      </c>
      <c r="E249" s="1" t="n">
        <v>46326</v>
      </c>
      <c r="F249" t="inlineStr">
        <is>
          <t>ÖSTERGÖTLANDS LÄN</t>
        </is>
      </c>
      <c r="G249" t="inlineStr">
        <is>
          <t>SÖDERKÖPING</t>
        </is>
      </c>
      <c r="I249" t="n">
        <v>1.4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26595-2026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46183</v>
      </c>
      <c r="E250" s="1" t="n">
        <v>46326</v>
      </c>
      <c r="F250" t="inlineStr">
        <is>
          <t>ÖSTERGÖTLANDS LÄN</t>
        </is>
      </c>
      <c r="G250" t="inlineStr">
        <is>
          <t>SÖDERKÖPING</t>
        </is>
      </c>
      <c r="I250" t="n">
        <v>0.9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3913-2025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45684</v>
      </c>
      <c r="E251" s="1" t="n">
        <v>46326</v>
      </c>
      <c r="F251" t="inlineStr">
        <is>
          <t>ÖSTERGÖTLANDS LÄN</t>
        </is>
      </c>
      <c r="G251" t="inlineStr">
        <is>
          <t>SÖDERKÖPING</t>
        </is>
      </c>
      <c r="I251" t="n">
        <v>2.4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50040-2023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45215</v>
      </c>
      <c r="E252" s="1" t="n">
        <v>46326</v>
      </c>
      <c r="F252" t="inlineStr">
        <is>
          <t>ÖSTERGÖTLANDS LÄN</t>
        </is>
      </c>
      <c r="G252" t="inlineStr">
        <is>
          <t>SÖDERKÖPING</t>
        </is>
      </c>
      <c r="H252" t="inlineStr">
        <is>
          <t>Kyrkan</t>
        </is>
      </c>
      <c r="I252" t="n">
        <v>6.1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309-2024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45295</v>
      </c>
      <c r="E253" s="1" t="n">
        <v>46326</v>
      </c>
      <c r="F253" t="inlineStr">
        <is>
          <t>ÖSTERGÖTLANDS LÄN</t>
        </is>
      </c>
      <c r="G253" t="inlineStr">
        <is>
          <t>SÖDERKÖPING</t>
        </is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22471-2026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46155</v>
      </c>
      <c r="E254" s="1" t="n">
        <v>46326</v>
      </c>
      <c r="F254" t="inlineStr">
        <is>
          <t>ÖSTERGÖTLANDS LÄN</t>
        </is>
      </c>
      <c r="G254" t="inlineStr">
        <is>
          <t>SÖDERKÖPING</t>
        </is>
      </c>
      <c r="H254" t="inlineStr">
        <is>
          <t>Kommuner</t>
        </is>
      </c>
      <c r="I254" t="n">
        <v>1.2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30114-2024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45489</v>
      </c>
      <c r="E255" s="1" t="n">
        <v>46326</v>
      </c>
      <c r="F255" t="inlineStr">
        <is>
          <t>ÖSTERGÖTLANDS LÄN</t>
        </is>
      </c>
      <c r="G255" t="inlineStr">
        <is>
          <t>SÖDERKÖPING</t>
        </is>
      </c>
      <c r="I255" t="n">
        <v>0.3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28383-2026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46196</v>
      </c>
      <c r="E256" s="1" t="n">
        <v>46326</v>
      </c>
      <c r="F256" t="inlineStr">
        <is>
          <t>ÖSTERGÖTLANDS LÄN</t>
        </is>
      </c>
      <c r="G256" t="inlineStr">
        <is>
          <t>SÖDERKÖPING</t>
        </is>
      </c>
      <c r="I256" t="n">
        <v>3.5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56213-2022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44890</v>
      </c>
      <c r="E257" s="1" t="n">
        <v>46326</v>
      </c>
      <c r="F257" t="inlineStr">
        <is>
          <t>ÖSTERGÖTLANDS LÄN</t>
        </is>
      </c>
      <c r="G257" t="inlineStr">
        <is>
          <t>SÖDERKÖPING</t>
        </is>
      </c>
      <c r="I257" t="n">
        <v>0.6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55772-2023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45239</v>
      </c>
      <c r="E258" s="1" t="n">
        <v>46326</v>
      </c>
      <c r="F258" t="inlineStr">
        <is>
          <t>ÖSTERGÖTLANDS LÄN</t>
        </is>
      </c>
      <c r="G258" t="inlineStr">
        <is>
          <t>SÖDERKÖPING</t>
        </is>
      </c>
      <c r="H258" t="inlineStr">
        <is>
          <t>Holmen skog AB</t>
        </is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20251-2023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45055</v>
      </c>
      <c r="E259" s="1" t="n">
        <v>46326</v>
      </c>
      <c r="F259" t="inlineStr">
        <is>
          <t>ÖSTERGÖTLANDS LÄN</t>
        </is>
      </c>
      <c r="G259" t="inlineStr">
        <is>
          <t>SÖDERKÖPING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20253-2023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45055</v>
      </c>
      <c r="E260" s="1" t="n">
        <v>46326</v>
      </c>
      <c r="F260" t="inlineStr">
        <is>
          <t>ÖSTERGÖTLANDS LÄN</t>
        </is>
      </c>
      <c r="G260" t="inlineStr">
        <is>
          <t>SÖDERKÖPING</t>
        </is>
      </c>
      <c r="I260" t="n">
        <v>0.8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40357-2023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45169</v>
      </c>
      <c r="E261" s="1" t="n">
        <v>46326</v>
      </c>
      <c r="F261" t="inlineStr">
        <is>
          <t>ÖSTERGÖTLANDS LÄN</t>
        </is>
      </c>
      <c r="G261" t="inlineStr">
        <is>
          <t>SÖDERKÖPING</t>
        </is>
      </c>
      <c r="I261" t="n">
        <v>1.9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58372-2023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45250</v>
      </c>
      <c r="E262" s="1" t="n">
        <v>46326</v>
      </c>
      <c r="F262" t="inlineStr">
        <is>
          <t>ÖSTERGÖTLANDS LÄN</t>
        </is>
      </c>
      <c r="G262" t="inlineStr">
        <is>
          <t>SÖDERKÖPING</t>
        </is>
      </c>
      <c r="H262" t="inlineStr">
        <is>
          <t>Holmen skog AB</t>
        </is>
      </c>
      <c r="I262" t="n">
        <v>3.2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42673-2023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45181</v>
      </c>
      <c r="E263" s="1" t="n">
        <v>46326</v>
      </c>
      <c r="F263" t="inlineStr">
        <is>
          <t>ÖSTERGÖTLANDS LÄN</t>
        </is>
      </c>
      <c r="G263" t="inlineStr">
        <is>
          <t>SÖDERKÖPING</t>
        </is>
      </c>
      <c r="I263" t="n">
        <v>0.3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30247-2026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46206</v>
      </c>
      <c r="E264" s="1" t="n">
        <v>46326</v>
      </c>
      <c r="F264" t="inlineStr">
        <is>
          <t>ÖSTERGÖTLANDS LÄN</t>
        </is>
      </c>
      <c r="G264" t="inlineStr">
        <is>
          <t>SÖDERKÖPING</t>
        </is>
      </c>
      <c r="I264" t="n">
        <v>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47419-2024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45586</v>
      </c>
      <c r="E265" s="1" t="n">
        <v>46326</v>
      </c>
      <c r="F265" t="inlineStr">
        <is>
          <t>ÖSTERGÖTLANDS LÄN</t>
        </is>
      </c>
      <c r="G265" t="inlineStr">
        <is>
          <t>SÖDERKÖPING</t>
        </is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11673-2023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44994</v>
      </c>
      <c r="E266" s="1" t="n">
        <v>46326</v>
      </c>
      <c r="F266" t="inlineStr">
        <is>
          <t>ÖSTERGÖTLANDS LÄN</t>
        </is>
      </c>
      <c r="G266" t="inlineStr">
        <is>
          <t>SÖDERKÖPING</t>
        </is>
      </c>
      <c r="I266" t="n">
        <v>0.9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6419-2023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44965</v>
      </c>
      <c r="E267" s="1" t="n">
        <v>46326</v>
      </c>
      <c r="F267" t="inlineStr">
        <is>
          <t>ÖSTERGÖTLANDS LÄN</t>
        </is>
      </c>
      <c r="G267" t="inlineStr">
        <is>
          <t>SÖDERKÖPING</t>
        </is>
      </c>
      <c r="I267" t="n">
        <v>5.4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13802-2025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45737</v>
      </c>
      <c r="E268" s="1" t="n">
        <v>46326</v>
      </c>
      <c r="F268" t="inlineStr">
        <is>
          <t>ÖSTERGÖTLANDS LÄN</t>
        </is>
      </c>
      <c r="G268" t="inlineStr">
        <is>
          <t>SÖDERKÖPING</t>
        </is>
      </c>
      <c r="H268" t="inlineStr">
        <is>
          <t>Holmen skog AB</t>
        </is>
      </c>
      <c r="I268" t="n">
        <v>4.5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41958-2023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45174</v>
      </c>
      <c r="E269" s="1" t="n">
        <v>46326</v>
      </c>
      <c r="F269" t="inlineStr">
        <is>
          <t>ÖSTERGÖTLANDS LÄN</t>
        </is>
      </c>
      <c r="G269" t="inlineStr">
        <is>
          <t>SÖDERKÖPING</t>
        </is>
      </c>
      <c r="I269" t="n">
        <v>15.3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1247-2022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44572</v>
      </c>
      <c r="E270" s="1" t="n">
        <v>46326</v>
      </c>
      <c r="F270" t="inlineStr">
        <is>
          <t>ÖSTERGÖTLANDS LÄN</t>
        </is>
      </c>
      <c r="G270" t="inlineStr">
        <is>
          <t>SÖDERKÖPING</t>
        </is>
      </c>
      <c r="I270" t="n">
        <v>5.6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5072-2022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44593</v>
      </c>
      <c r="E271" s="1" t="n">
        <v>46326</v>
      </c>
      <c r="F271" t="inlineStr">
        <is>
          <t>ÖSTERGÖTLANDS LÄN</t>
        </is>
      </c>
      <c r="G271" t="inlineStr">
        <is>
          <t>SÖDERKÖPING</t>
        </is>
      </c>
      <c r="I271" t="n">
        <v>6.6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24726-2026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46171</v>
      </c>
      <c r="E272" s="1" t="n">
        <v>46326</v>
      </c>
      <c r="F272" t="inlineStr">
        <is>
          <t>ÖSTERGÖTLANDS LÄN</t>
        </is>
      </c>
      <c r="G272" t="inlineStr">
        <is>
          <t>SÖDERKÖPING</t>
        </is>
      </c>
      <c r="H272" t="inlineStr">
        <is>
          <t>Holmen skog AB</t>
        </is>
      </c>
      <c r="I272" t="n">
        <v>0.9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13889-2025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45737</v>
      </c>
      <c r="E273" s="1" t="n">
        <v>46326</v>
      </c>
      <c r="F273" t="inlineStr">
        <is>
          <t>ÖSTERGÖTLANDS LÄN</t>
        </is>
      </c>
      <c r="G273" t="inlineStr">
        <is>
          <t>SÖDERKÖPING</t>
        </is>
      </c>
      <c r="H273" t="inlineStr">
        <is>
          <t>Holmen skog AB</t>
        </is>
      </c>
      <c r="I273" t="n">
        <v>2.2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29374-2022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44753</v>
      </c>
      <c r="E274" s="1" t="n">
        <v>46326</v>
      </c>
      <c r="F274" t="inlineStr">
        <is>
          <t>ÖSTERGÖTLANDS LÄN</t>
        </is>
      </c>
      <c r="G274" t="inlineStr">
        <is>
          <t>SÖDERKÖPING</t>
        </is>
      </c>
      <c r="I274" t="n">
        <v>1.9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31351-2026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46219</v>
      </c>
      <c r="E275" s="1" t="n">
        <v>46326</v>
      </c>
      <c r="F275" t="inlineStr">
        <is>
          <t>ÖSTERGÖTLANDS LÄN</t>
        </is>
      </c>
      <c r="G275" t="inlineStr">
        <is>
          <t>SÖDERKÖPING</t>
        </is>
      </c>
      <c r="I275" t="n">
        <v>4.6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49251-2024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45595</v>
      </c>
      <c r="E276" s="1" t="n">
        <v>46326</v>
      </c>
      <c r="F276" t="inlineStr">
        <is>
          <t>ÖSTERGÖTLANDS LÄN</t>
        </is>
      </c>
      <c r="G276" t="inlineStr">
        <is>
          <t>SÖDERKÖPING</t>
        </is>
      </c>
      <c r="I276" t="n">
        <v>0.7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31317-2026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46219</v>
      </c>
      <c r="E277" s="1" t="n">
        <v>46326</v>
      </c>
      <c r="F277" t="inlineStr">
        <is>
          <t>ÖSTERGÖTLANDS LÄN</t>
        </is>
      </c>
      <c r="G277" t="inlineStr">
        <is>
          <t>SÖDERKÖPING</t>
        </is>
      </c>
      <c r="I277" t="n">
        <v>0.6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31794-2026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46227</v>
      </c>
      <c r="E278" s="1" t="n">
        <v>46326</v>
      </c>
      <c r="F278" t="inlineStr">
        <is>
          <t>ÖSTERGÖTLANDS LÄN</t>
        </is>
      </c>
      <c r="G278" t="inlineStr">
        <is>
          <t>SÖDERKÖPING</t>
        </is>
      </c>
      <c r="I278" t="n">
        <v>2.8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31792-2026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46227</v>
      </c>
      <c r="E279" s="1" t="n">
        <v>46326</v>
      </c>
      <c r="F279" t="inlineStr">
        <is>
          <t>ÖSTERGÖTLANDS LÄN</t>
        </is>
      </c>
      <c r="G279" t="inlineStr">
        <is>
          <t>SÖDERKÖPING</t>
        </is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31793-2026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46227</v>
      </c>
      <c r="E280" s="1" t="n">
        <v>46326</v>
      </c>
      <c r="F280" t="inlineStr">
        <is>
          <t>ÖSTERGÖTLANDS LÄN</t>
        </is>
      </c>
      <c r="G280" t="inlineStr">
        <is>
          <t>SÖDERKÖPING</t>
        </is>
      </c>
      <c r="I280" t="n">
        <v>8.5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41245-2023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45174</v>
      </c>
      <c r="E281" s="1" t="n">
        <v>46326</v>
      </c>
      <c r="F281" t="inlineStr">
        <is>
          <t>ÖSTERGÖTLANDS LÄN</t>
        </is>
      </c>
      <c r="G281" t="inlineStr">
        <is>
          <t>SÖDERKÖPING</t>
        </is>
      </c>
      <c r="I281" t="n">
        <v>2.4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459-2024</t>
        </is>
      </c>
      <c r="B282" t="inlineStr">
        <is>
          <t>avverkningsanmälan</t>
        </is>
      </c>
      <c r="C282" t="inlineStr">
        <is>
          <t>Avverkning för att bevara och utveckla /försöksver</t>
        </is>
      </c>
      <c r="D282" s="1" t="n">
        <v>45297</v>
      </c>
      <c r="E282" s="1" t="n">
        <v>46326</v>
      </c>
      <c r="F282" t="inlineStr">
        <is>
          <t>ÖSTERGÖTLANDS LÄN</t>
        </is>
      </c>
      <c r="G282" t="inlineStr">
        <is>
          <t>SÖDERKÖPING</t>
        </is>
      </c>
      <c r="I282" t="n">
        <v>0.7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12708-2024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45379</v>
      </c>
      <c r="E283" s="1" t="n">
        <v>46326</v>
      </c>
      <c r="F283" t="inlineStr">
        <is>
          <t>ÖSTERGÖTLANDS LÄN</t>
        </is>
      </c>
      <c r="G283" t="inlineStr">
        <is>
          <t>SÖDERKÖPING</t>
        </is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27598-2023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45097</v>
      </c>
      <c r="E284" s="1" t="n">
        <v>46326</v>
      </c>
      <c r="F284" t="inlineStr">
        <is>
          <t>ÖSTERGÖTLANDS LÄN</t>
        </is>
      </c>
      <c r="G284" t="inlineStr">
        <is>
          <t>SÖDERKÖPING</t>
        </is>
      </c>
      <c r="I284" t="n">
        <v>0.6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55853-2022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44888</v>
      </c>
      <c r="E285" s="1" t="n">
        <v>46326</v>
      </c>
      <c r="F285" t="inlineStr">
        <is>
          <t>ÖSTERGÖTLANDS LÄN</t>
        </is>
      </c>
      <c r="G285" t="inlineStr">
        <is>
          <t>SÖDERKÖPING</t>
        </is>
      </c>
      <c r="I285" t="n">
        <v>1.8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45476-2023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45194</v>
      </c>
      <c r="E286" s="1" t="n">
        <v>46326</v>
      </c>
      <c r="F286" t="inlineStr">
        <is>
          <t>ÖSTERGÖTLANDS LÄN</t>
        </is>
      </c>
      <c r="G286" t="inlineStr">
        <is>
          <t>SÖDERKÖPING</t>
        </is>
      </c>
      <c r="I286" t="n">
        <v>2.3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42358-2023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45180</v>
      </c>
      <c r="E287" s="1" t="n">
        <v>46326</v>
      </c>
      <c r="F287" t="inlineStr">
        <is>
          <t>ÖSTERGÖTLANDS LÄN</t>
        </is>
      </c>
      <c r="G287" t="inlineStr">
        <is>
          <t>SÖDERKÖPING</t>
        </is>
      </c>
      <c r="H287" t="inlineStr">
        <is>
          <t>Allmännings- och besparingsskogar</t>
        </is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4526-2025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45687</v>
      </c>
      <c r="E288" s="1" t="n">
        <v>46326</v>
      </c>
      <c r="F288" t="inlineStr">
        <is>
          <t>ÖSTERGÖTLANDS LÄN</t>
        </is>
      </c>
      <c r="G288" t="inlineStr">
        <is>
          <t>SÖDERKÖPING</t>
        </is>
      </c>
      <c r="I288" t="n">
        <v>6.9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32817-2026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46241</v>
      </c>
      <c r="E289" s="1" t="n">
        <v>46326</v>
      </c>
      <c r="F289" t="inlineStr">
        <is>
          <t>ÖSTERGÖTLANDS LÄN</t>
        </is>
      </c>
      <c r="G289" t="inlineStr">
        <is>
          <t>SÖDERKÖPING</t>
        </is>
      </c>
      <c r="I289" t="n">
        <v>0.6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46417-2023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45197</v>
      </c>
      <c r="E290" s="1" t="n">
        <v>46326</v>
      </c>
      <c r="F290" t="inlineStr">
        <is>
          <t>ÖSTERGÖTLANDS LÄN</t>
        </is>
      </c>
      <c r="G290" t="inlineStr">
        <is>
          <t>SÖDERKÖPING</t>
        </is>
      </c>
      <c r="I290" t="n">
        <v>4.1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20254-2023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45055</v>
      </c>
      <c r="E291" s="1" t="n">
        <v>46326</v>
      </c>
      <c r="F291" t="inlineStr">
        <is>
          <t>ÖSTERGÖTLANDS LÄN</t>
        </is>
      </c>
      <c r="G291" t="inlineStr">
        <is>
          <t>SÖDERKÖPING</t>
        </is>
      </c>
      <c r="I291" t="n">
        <v>1.3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458-2024</t>
        </is>
      </c>
      <c r="B292" t="inlineStr">
        <is>
          <t>avverkningsanmälan</t>
        </is>
      </c>
      <c r="C292" t="inlineStr">
        <is>
          <t>Avverkning för att bevara och utveckla /försöksver</t>
        </is>
      </c>
      <c r="D292" s="1" t="n">
        <v>45297</v>
      </c>
      <c r="E292" s="1" t="n">
        <v>46326</v>
      </c>
      <c r="F292" t="inlineStr">
        <is>
          <t>ÖSTERGÖTLANDS LÄN</t>
        </is>
      </c>
      <c r="G292" t="inlineStr">
        <is>
          <t>SÖDERKÖPING</t>
        </is>
      </c>
      <c r="I292" t="n">
        <v>0.5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32818-2026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46241</v>
      </c>
      <c r="E293" s="1" t="n">
        <v>46326</v>
      </c>
      <c r="F293" t="inlineStr">
        <is>
          <t>ÖSTERGÖTLANDS LÄN</t>
        </is>
      </c>
      <c r="G293" t="inlineStr">
        <is>
          <t>SÖDERKÖPING</t>
        </is>
      </c>
      <c r="I293" t="n">
        <v>1.7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7071-2025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45701</v>
      </c>
      <c r="E294" s="1" t="n">
        <v>46326</v>
      </c>
      <c r="F294" t="inlineStr">
        <is>
          <t>ÖSTERGÖTLANDS LÄN</t>
        </is>
      </c>
      <c r="G294" t="inlineStr">
        <is>
          <t>SÖDERKÖPING</t>
        </is>
      </c>
      <c r="I294" t="n">
        <v>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13920-2025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45737</v>
      </c>
      <c r="E295" s="1" t="n">
        <v>46326</v>
      </c>
      <c r="F295" t="inlineStr">
        <is>
          <t>ÖSTERGÖTLANDS LÄN</t>
        </is>
      </c>
      <c r="G295" t="inlineStr">
        <is>
          <t>SÖDERKÖPING</t>
        </is>
      </c>
      <c r="H295" t="inlineStr">
        <is>
          <t>Holmen skog AB</t>
        </is>
      </c>
      <c r="I295" t="n">
        <v>3.1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6615-2025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45700</v>
      </c>
      <c r="E296" s="1" t="n">
        <v>46326</v>
      </c>
      <c r="F296" t="inlineStr">
        <is>
          <t>ÖSTERGÖTLANDS LÄN</t>
        </is>
      </c>
      <c r="G296" t="inlineStr">
        <is>
          <t>SÖDERKÖPING</t>
        </is>
      </c>
      <c r="I296" t="n">
        <v>1.4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33649-2026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46248</v>
      </c>
      <c r="E297" s="1" t="n">
        <v>46326</v>
      </c>
      <c r="F297" t="inlineStr">
        <is>
          <t>ÖSTERGÖTLANDS LÄN</t>
        </is>
      </c>
      <c r="G297" t="inlineStr">
        <is>
          <t>SÖDERKÖPING</t>
        </is>
      </c>
      <c r="I297" t="n">
        <v>5.3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9729-2023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44984</v>
      </c>
      <c r="E298" s="1" t="n">
        <v>46326</v>
      </c>
      <c r="F298" t="inlineStr">
        <is>
          <t>ÖSTERGÖTLANDS LÄN</t>
        </is>
      </c>
      <c r="G298" t="inlineStr">
        <is>
          <t>SÖDERKÖPING</t>
        </is>
      </c>
      <c r="I298" t="n">
        <v>13.8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51746-2023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45222</v>
      </c>
      <c r="E299" s="1" t="n">
        <v>46326</v>
      </c>
      <c r="F299" t="inlineStr">
        <is>
          <t>ÖSTERGÖTLANDS LÄN</t>
        </is>
      </c>
      <c r="G299" t="inlineStr">
        <is>
          <t>SÖDERKÖPING</t>
        </is>
      </c>
      <c r="I299" t="n">
        <v>1.8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31315-2024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45504</v>
      </c>
      <c r="E300" s="1" t="n">
        <v>46326</v>
      </c>
      <c r="F300" t="inlineStr">
        <is>
          <t>ÖSTERGÖTLANDS LÄN</t>
        </is>
      </c>
      <c r="G300" t="inlineStr">
        <is>
          <t>SÖDERKÖPING</t>
        </is>
      </c>
      <c r="I300" t="n">
        <v>2.3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31312-2024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45504</v>
      </c>
      <c r="E301" s="1" t="n">
        <v>46326</v>
      </c>
      <c r="F301" t="inlineStr">
        <is>
          <t>ÖSTERGÖTLANDS LÄN</t>
        </is>
      </c>
      <c r="G301" t="inlineStr">
        <is>
          <t>SÖDERKÖPING</t>
        </is>
      </c>
      <c r="I301" t="n">
        <v>4.1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20310-2024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45435</v>
      </c>
      <c r="E302" s="1" t="n">
        <v>46326</v>
      </c>
      <c r="F302" t="inlineStr">
        <is>
          <t>ÖSTERGÖTLANDS LÄN</t>
        </is>
      </c>
      <c r="G302" t="inlineStr">
        <is>
          <t>SÖDERKÖPING</t>
        </is>
      </c>
      <c r="I302" t="n">
        <v>1.4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50574-2024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45601</v>
      </c>
      <c r="E303" s="1" t="n">
        <v>46326</v>
      </c>
      <c r="F303" t="inlineStr">
        <is>
          <t>ÖSTERGÖTLANDS LÄN</t>
        </is>
      </c>
      <c r="G303" t="inlineStr">
        <is>
          <t>SÖDERKÖPING</t>
        </is>
      </c>
      <c r="I303" t="n">
        <v>3.8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5310-2025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45692</v>
      </c>
      <c r="E304" s="1" t="n">
        <v>46326</v>
      </c>
      <c r="F304" t="inlineStr">
        <is>
          <t>ÖSTERGÖTLANDS LÄN</t>
        </is>
      </c>
      <c r="G304" t="inlineStr">
        <is>
          <t>SÖDERKÖPING</t>
        </is>
      </c>
      <c r="I304" t="n">
        <v>4.6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31305-2024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45504</v>
      </c>
      <c r="E305" s="1" t="n">
        <v>46326</v>
      </c>
      <c r="F305" t="inlineStr">
        <is>
          <t>ÖSTERGÖTLANDS LÄN</t>
        </is>
      </c>
      <c r="G305" t="inlineStr">
        <is>
          <t>SÖDERKÖPING</t>
        </is>
      </c>
      <c r="I305" t="n">
        <v>5.3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31314-2024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45504</v>
      </c>
      <c r="E306" s="1" t="n">
        <v>46326</v>
      </c>
      <c r="F306" t="inlineStr">
        <is>
          <t>ÖSTERGÖTLANDS LÄN</t>
        </is>
      </c>
      <c r="G306" t="inlineStr">
        <is>
          <t>SÖDERKÖPING</t>
        </is>
      </c>
      <c r="I306" t="n">
        <v>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43495-2023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45184</v>
      </c>
      <c r="E307" s="1" t="n">
        <v>46326</v>
      </c>
      <c r="F307" t="inlineStr">
        <is>
          <t>ÖSTERGÖTLANDS LÄN</t>
        </is>
      </c>
      <c r="G307" t="inlineStr">
        <is>
          <t>SÖDERKÖPING</t>
        </is>
      </c>
      <c r="I307" t="n">
        <v>2.7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22918-2025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45790</v>
      </c>
      <c r="E308" s="1" t="n">
        <v>46326</v>
      </c>
      <c r="F308" t="inlineStr">
        <is>
          <t>ÖSTERGÖTLANDS LÄN</t>
        </is>
      </c>
      <c r="G308" t="inlineStr">
        <is>
          <t>SÖDERKÖPING</t>
        </is>
      </c>
      <c r="I308" t="n">
        <v>1.5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23451-2025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45792</v>
      </c>
      <c r="E309" s="1" t="n">
        <v>46326</v>
      </c>
      <c r="F309" t="inlineStr">
        <is>
          <t>ÖSTERGÖTLANDS LÄN</t>
        </is>
      </c>
      <c r="G309" t="inlineStr">
        <is>
          <t>SÖDERKÖPING</t>
        </is>
      </c>
      <c r="I309" t="n">
        <v>12.2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59885-2023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45257</v>
      </c>
      <c r="E310" s="1" t="n">
        <v>46326</v>
      </c>
      <c r="F310" t="inlineStr">
        <is>
          <t>ÖSTERGÖTLANDS LÄN</t>
        </is>
      </c>
      <c r="G310" t="inlineStr">
        <is>
          <t>SÖDERKÖPING</t>
        </is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24355-2025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45797</v>
      </c>
      <c r="E311" s="1" t="n">
        <v>46326</v>
      </c>
      <c r="F311" t="inlineStr">
        <is>
          <t>ÖSTERGÖTLANDS LÄN</t>
        </is>
      </c>
      <c r="G311" t="inlineStr">
        <is>
          <t>SÖDERKÖPING</t>
        </is>
      </c>
      <c r="I311" t="n">
        <v>1.4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24344-2025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45797</v>
      </c>
      <c r="E312" s="1" t="n">
        <v>46326</v>
      </c>
      <c r="F312" t="inlineStr">
        <is>
          <t>ÖSTERGÖTLANDS LÄN</t>
        </is>
      </c>
      <c r="G312" t="inlineStr">
        <is>
          <t>SÖDERKÖPING</t>
        </is>
      </c>
      <c r="I312" t="n">
        <v>0.7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46643-2025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45926</v>
      </c>
      <c r="E313" s="1" t="n">
        <v>46326</v>
      </c>
      <c r="F313" t="inlineStr">
        <is>
          <t>ÖSTERGÖTLANDS LÄN</t>
        </is>
      </c>
      <c r="G313" t="inlineStr">
        <is>
          <t>SÖDERKÖPING</t>
        </is>
      </c>
      <c r="I313" t="n">
        <v>4.1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34793-2026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46258</v>
      </c>
      <c r="E314" s="1" t="n">
        <v>46326</v>
      </c>
      <c r="F314" t="inlineStr">
        <is>
          <t>ÖSTERGÖTLANDS LÄN</t>
        </is>
      </c>
      <c r="G314" t="inlineStr">
        <is>
          <t>SÖDERKÖPING</t>
        </is>
      </c>
      <c r="I314" t="n">
        <v>1.3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41250-2026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46300</v>
      </c>
      <c r="E315" s="1" t="n">
        <v>46326</v>
      </c>
      <c r="F315" t="inlineStr">
        <is>
          <t>ÖSTERGÖTLANDS LÄN</t>
        </is>
      </c>
      <c r="G315" t="inlineStr">
        <is>
          <t>SÖDERKÖPING</t>
        </is>
      </c>
      <c r="I315" t="n">
        <v>2.1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16254-2026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46111</v>
      </c>
      <c r="E316" s="1" t="n">
        <v>46326</v>
      </c>
      <c r="F316" t="inlineStr">
        <is>
          <t>ÖSTERGÖTLANDS LÄN</t>
        </is>
      </c>
      <c r="G316" t="inlineStr">
        <is>
          <t>SÖDERKÖPING</t>
        </is>
      </c>
      <c r="I316" t="n">
        <v>1.5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42768-2025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45908</v>
      </c>
      <c r="E317" s="1" t="n">
        <v>46326</v>
      </c>
      <c r="F317" t="inlineStr">
        <is>
          <t>ÖSTERGÖTLANDS LÄN</t>
        </is>
      </c>
      <c r="G317" t="inlineStr">
        <is>
          <t>SÖDERKÖPING</t>
        </is>
      </c>
      <c r="I317" t="n">
        <v>4.2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21903-2026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46150</v>
      </c>
      <c r="E318" s="1" t="n">
        <v>46326</v>
      </c>
      <c r="F318" t="inlineStr">
        <is>
          <t>ÖSTERGÖTLANDS LÄN</t>
        </is>
      </c>
      <c r="G318" t="inlineStr">
        <is>
          <t>SÖDERKÖPING</t>
        </is>
      </c>
      <c r="I318" t="n">
        <v>2.5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34790-2026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46258</v>
      </c>
      <c r="E319" s="1" t="n">
        <v>46326</v>
      </c>
      <c r="F319" t="inlineStr">
        <is>
          <t>ÖSTERGÖTLANDS LÄN</t>
        </is>
      </c>
      <c r="G319" t="inlineStr">
        <is>
          <t>SÖDERKÖPING</t>
        </is>
      </c>
      <c r="I319" t="n">
        <v>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42202-2026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46305</v>
      </c>
      <c r="E320" s="1" t="n">
        <v>46326</v>
      </c>
      <c r="F320" t="inlineStr">
        <is>
          <t>ÖSTERGÖTLANDS LÄN</t>
        </is>
      </c>
      <c r="G320" t="inlineStr">
        <is>
          <t>SÖDERKÖPING</t>
        </is>
      </c>
      <c r="I320" t="n">
        <v>1.5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21898-2026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46150</v>
      </c>
      <c r="E321" s="1" t="n">
        <v>46326</v>
      </c>
      <c r="F321" t="inlineStr">
        <is>
          <t>ÖSTERGÖTLANDS LÄN</t>
        </is>
      </c>
      <c r="G321" t="inlineStr">
        <is>
          <t>SÖDERKÖPING</t>
        </is>
      </c>
      <c r="I321" t="n">
        <v>4.4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S 4766-2024</t>
        </is>
      </c>
      <c r="B322" t="inlineStr">
        <is>
          <t>samrådsanmälan</t>
        </is>
      </c>
      <c r="C322" t="inlineStr">
        <is>
          <t>Åtgärd i nyckelbiotop</t>
        </is>
      </c>
      <c r="D322" s="1" t="n">
        <v>45610</v>
      </c>
      <c r="E322" s="1" t="n">
        <v>46326</v>
      </c>
      <c r="F322" t="inlineStr">
        <is>
          <t>ÖSTERGÖTLANDS LÄN</t>
        </is>
      </c>
      <c r="G322" t="inlineStr">
        <is>
          <t>SÖDERKÖPING</t>
        </is>
      </c>
      <c r="I322" t="n">
        <v>7.4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S 3958-2024</t>
        </is>
      </c>
      <c r="B323" t="inlineStr">
        <is>
          <t>samrådsanmälan</t>
        </is>
      </c>
      <c r="C323" t="inlineStr">
        <is>
          <t>Åtgärd i nyckelbiotop</t>
        </is>
      </c>
      <c r="D323" s="1" t="n">
        <v>45567</v>
      </c>
      <c r="E323" s="1" t="n">
        <v>46326</v>
      </c>
      <c r="F323" t="inlineStr">
        <is>
          <t>ÖSTERGÖTLANDS LÄN</t>
        </is>
      </c>
      <c r="G323" t="inlineStr">
        <is>
          <t>SÖDERKÖPING</t>
        </is>
      </c>
      <c r="I323" t="n">
        <v>3.2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S 4052-2023</t>
        </is>
      </c>
      <c r="B324" t="inlineStr">
        <is>
          <t>samrådsanmälan</t>
        </is>
      </c>
      <c r="C324" t="inlineStr">
        <is>
          <t>Annan skogsbruksåtgärd</t>
        </is>
      </c>
      <c r="D324" s="1" t="n">
        <v>45246</v>
      </c>
      <c r="E324" s="1" t="n">
        <v>46326</v>
      </c>
      <c r="F324" t="inlineStr">
        <is>
          <t>ÖSTERGÖTLANDS LÄN</t>
        </is>
      </c>
      <c r="G324" t="inlineStr">
        <is>
          <t>SÖDERKÖPING</t>
        </is>
      </c>
      <c r="I324" t="n">
        <v>1.1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S 1568-2024</t>
        </is>
      </c>
      <c r="B325" t="inlineStr">
        <is>
          <t>samrådsanmälan</t>
        </is>
      </c>
      <c r="C325" t="inlineStr">
        <is>
          <t>Annan skogsbruksåtgärd</t>
        </is>
      </c>
      <c r="D325" s="1" t="n">
        <v>45426</v>
      </c>
      <c r="E325" s="1" t="n">
        <v>46326</v>
      </c>
      <c r="F325" t="inlineStr">
        <is>
          <t>ÖSTERGÖTLANDS LÄN</t>
        </is>
      </c>
      <c r="G325" t="inlineStr">
        <is>
          <t>SÖDERKÖPING</t>
        </is>
      </c>
      <c r="I325" t="n">
        <v>29.3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S 3312-2023</t>
        </is>
      </c>
      <c r="B326" t="inlineStr">
        <is>
          <t>samrådsanmälan</t>
        </is>
      </c>
      <c r="C326" t="inlineStr">
        <is>
          <t>Annan skogsbruksåtgärd</t>
        </is>
      </c>
      <c r="D326" s="1" t="n">
        <v>45195</v>
      </c>
      <c r="E326" s="1" t="n">
        <v>46326</v>
      </c>
      <c r="F326" t="inlineStr">
        <is>
          <t>ÖSTERGÖTLANDS LÄN</t>
        </is>
      </c>
      <c r="G326" t="inlineStr">
        <is>
          <t>SÖDERKÖPING</t>
        </is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>
      <c r="A327" t="inlineStr">
        <is>
          <t>S 1540-2026</t>
        </is>
      </c>
      <c r="B327" t="inlineStr">
        <is>
          <t>samrådsanmälan</t>
        </is>
      </c>
      <c r="C327" t="inlineStr">
        <is>
          <t>Annan skogsbruksåtgärd</t>
        </is>
      </c>
      <c r="D327" s="1" t="n">
        <v>46168</v>
      </c>
      <c r="E327" s="1" t="n">
        <v>46326</v>
      </c>
      <c r="F327" t="inlineStr">
        <is>
          <t>ÖSTERGÖTLANDS LÄN</t>
        </is>
      </c>
      <c r="G327" t="inlineStr">
        <is>
          <t>SÖDERKÖPING</t>
        </is>
      </c>
      <c r="I327" t="n">
        <v>5.6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2026-10-31T03:28:04Z</dcterms:created>
  <dcterms:modified xmlns:dcterms="http://purl.org/dc/terms/" xmlns:xsi="http://www.w3.org/2001/XMLSchema-instance" xsi:type="dcterms:W3CDTF">2026-10-31T03:28:04Z</dcterms:modified>
</cp:coreProperties>
</file>