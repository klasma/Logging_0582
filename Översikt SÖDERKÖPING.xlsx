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46268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46268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46268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46268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46268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46268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46268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46268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46268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46268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46268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30438-2022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44761</v>
      </c>
      <c r="E13" s="1" t="n">
        <v>46268</v>
      </c>
      <c r="F13" t="inlineStr">
        <is>
          <t>ÖSTERGÖTLANDS LÄN</t>
        </is>
      </c>
      <c r="G13" t="inlineStr">
        <is>
          <t>SÖDERKÖPING</t>
        </is>
      </c>
      <c r="I13" t="n">
        <v>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HYPERLINK("https://klasma.github.io/Logging_0582/artfynd/A 30438-2022 artfynd.xlsx", "A 30438-2022")</f>
        <v/>
      </c>
      <c r="X13">
        <f>HYPERLINK("https://klasma.github.io/Logging_0582/kartor/A 30438-2022 karta.png", "A 30438-2022")</f>
        <v/>
      </c>
      <c r="Y13">
        <f>HYPERLINK("https://klasma.github.io/Logging_0582/kartor_geotiff/A 30438-2022 georefererad karta.tif", "A 30438-2022")</f>
        <v/>
      </c>
      <c r="AA13">
        <f>HYPERLINK("https://klasma.github.io/Logging_0582/klagomål/A 30438-2022 FSC-klagomål.docx", "A 30438-2022")</f>
        <v/>
      </c>
      <c r="AB13">
        <f>HYPERLINK("https://klasma.github.io/Logging_0582/klagomålsmail/A 30438-2022 FSC-klagomål mail.docx", "A 30438-2022")</f>
        <v/>
      </c>
      <c r="AC13">
        <f>HYPERLINK("https://klasma.github.io/Logging_0582/tillsyn/A 30438-2022 tillsynsbegäran.docx", "A 30438-2022")</f>
        <v/>
      </c>
      <c r="AD13">
        <f>HYPERLINK("https://klasma.github.io/Logging_0582/tillsynsmail/A 30438-2022 tillsynsbegäran mail.docx", "A 30438-2022")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46268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46268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46028</v>
      </c>
      <c r="E16" s="1" t="n">
        <v>46268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Igelkottsröksvamp</t>
        </is>
      </c>
      <c r="W16">
        <f>HYPERLINK("https://klasma.github.io/Logging_0582/artfynd/A 394-2026 artfynd.xlsx", "A 394-2026")</f>
        <v/>
      </c>
      <c r="X16">
        <f>HYPERLINK("https://klasma.github.io/Logging_0582/kartor/A 394-2026 karta.png", "A 394-2026")</f>
        <v/>
      </c>
      <c r="Y16">
        <f>HYPERLINK("https://klasma.github.io/Logging_0582/kartor_geotiff/A 394-2026 georefererad karta.tif", "A 394-2026")</f>
        <v/>
      </c>
      <c r="AA16">
        <f>HYPERLINK("https://klasma.github.io/Logging_0582/klagomål/A 394-2026 FSC-klagomål.docx", "A 394-2026")</f>
        <v/>
      </c>
      <c r="AB16">
        <f>HYPERLINK("https://klasma.github.io/Logging_0582/klagomålsmail/A 394-2026 FSC-klagomål mail.docx", "A 394-2026")</f>
        <v/>
      </c>
      <c r="AC16">
        <f>HYPERLINK("https://klasma.github.io/Logging_0582/tillsyn/A 394-2026 tillsynsbegäran.docx", "A 394-2026")</f>
        <v/>
      </c>
      <c r="AD16">
        <f>HYPERLINK("https://klasma.github.io/Logging_0582/tillsynsmail/A 394-2026 tillsynsbegäran mail.docx", "A 394-2026")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46268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46268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46268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46268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46268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46268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46268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354-2024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46268</v>
      </c>
      <c r="F24" t="inlineStr">
        <is>
          <t>ÖSTERGÖTLANDS LÄN</t>
        </is>
      </c>
      <c r="G24" t="inlineStr">
        <is>
          <t>SÖDERKÖPING</t>
        </is>
      </c>
      <c r="I24" t="n">
        <v>10.2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Rödlånke</t>
        </is>
      </c>
      <c r="W24">
        <f>HYPERLINK("https://klasma.github.io/Logging_0582/artfynd/A 354-2024 artfynd.xlsx", "A 354-2024")</f>
        <v/>
      </c>
      <c r="X24">
        <f>HYPERLINK("https://klasma.github.io/Logging_0582/kartor/A 354-2024 karta.png", "A 354-2024")</f>
        <v/>
      </c>
      <c r="Y24">
        <f>HYPERLINK("https://klasma.github.io/Logging_0582/kartor_geotiff/A 354-2024 georefererad karta.tif", "A 354-2024")</f>
        <v/>
      </c>
      <c r="AA24">
        <f>HYPERLINK("https://klasma.github.io/Logging_0582/klagomål/A 354-2024 FSC-klagomål.docx", "A 354-2024")</f>
        <v/>
      </c>
      <c r="AB24">
        <f>HYPERLINK("https://klasma.github.io/Logging_0582/klagomålsmail/A 354-2024 FSC-klagomål mail.docx", "A 354-2024")</f>
        <v/>
      </c>
      <c r="AC24">
        <f>HYPERLINK("https://klasma.github.io/Logging_0582/tillsyn/A 354-2024 tillsynsbegäran.docx", "A 354-2024")</f>
        <v/>
      </c>
      <c r="AD24">
        <f>HYPERLINK("https://klasma.github.io/Logging_0582/tillsynsmail/A 354-2024 tillsynsbegäran mail.docx", "A 354-2024")</f>
        <v/>
      </c>
    </row>
    <row r="25" ht="15" customHeight="1">
      <c r="A25" t="inlineStr">
        <is>
          <t>A 8156-2023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44974</v>
      </c>
      <c r="E25" s="1" t="n">
        <v>46268</v>
      </c>
      <c r="F25" t="inlineStr">
        <is>
          <t>ÖSTERGÖTLANDS LÄN</t>
        </is>
      </c>
      <c r="G25" t="inlineStr">
        <is>
          <t>SÖDERKÖPING</t>
        </is>
      </c>
      <c r="I25" t="n">
        <v>0.7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Hasselsnok</t>
        </is>
      </c>
      <c r="W25">
        <f>HYPERLINK("https://klasma.github.io/Logging_0582/artfynd/A 8156-2023 artfynd.xlsx", "A 8156-2023")</f>
        <v/>
      </c>
      <c r="X25">
        <f>HYPERLINK("https://klasma.github.io/Logging_0582/kartor/A 8156-2023 karta.png", "A 8156-2023")</f>
        <v/>
      </c>
      <c r="Y25">
        <f>HYPERLINK("https://klasma.github.io/Logging_0582/kartor_geotiff/A 8156-2023 georefererad karta.tif", "A 8156-2023")</f>
        <v/>
      </c>
      <c r="AA25">
        <f>HYPERLINK("https://klasma.github.io/Logging_0582/klagomål/A 8156-2023 FSC-klagomål.docx", "A 8156-2023")</f>
        <v/>
      </c>
      <c r="AB25">
        <f>HYPERLINK("https://klasma.github.io/Logging_0582/klagomålsmail/A 8156-2023 FSC-klagomål mail.docx", "A 8156-2023")</f>
        <v/>
      </c>
      <c r="AC25">
        <f>HYPERLINK("https://klasma.github.io/Logging_0582/tillsyn/A 8156-2023 tillsynsbegäran.docx", "A 8156-2023")</f>
        <v/>
      </c>
      <c r="AD25">
        <f>HYPERLINK("https://klasma.github.io/Logging_0582/tillsynsmail/A 8156-2023 tillsynsbegäran mail.docx", "A 8156-2023")</f>
        <v/>
      </c>
    </row>
    <row r="26" ht="15" customHeight="1">
      <c r="A26" t="inlineStr">
        <is>
          <t>A 28549-2024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46268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Vippärt</t>
        </is>
      </c>
      <c r="W26">
        <f>HYPERLINK("https://klasma.github.io/Logging_0582/artfynd/A 28549-2024 artfynd.xlsx", "A 28549-2024")</f>
        <v/>
      </c>
      <c r="X26">
        <f>HYPERLINK("https://klasma.github.io/Logging_0582/kartor/A 28549-2024 karta.png", "A 28549-2024")</f>
        <v/>
      </c>
      <c r="Y26">
        <f>HYPERLINK("https://klasma.github.io/Logging_0582/kartor_geotiff/A 28549-2024 georefererad karta.tif", "A 28549-2024")</f>
        <v/>
      </c>
      <c r="AA26">
        <f>HYPERLINK("https://klasma.github.io/Logging_0582/klagomål/A 28549-2024 FSC-klagomål.docx", "A 28549-2024")</f>
        <v/>
      </c>
      <c r="AB26">
        <f>HYPERLINK("https://klasma.github.io/Logging_0582/klagomålsmail/A 28549-2024 FSC-klagomål mail.docx", "A 28549-2024")</f>
        <v/>
      </c>
      <c r="AC26">
        <f>HYPERLINK("https://klasma.github.io/Logging_0582/tillsyn/A 28549-2024 tillsynsbegäran.docx", "A 28549-2024")</f>
        <v/>
      </c>
      <c r="AD26">
        <f>HYPERLINK("https://klasma.github.io/Logging_0582/tillsynsmail/A 28549-2024 tillsynsbegäran mail.docx", "A 28549-2024")</f>
        <v/>
      </c>
    </row>
    <row r="27" ht="15" customHeight="1">
      <c r="A27" t="inlineStr">
        <is>
          <t>A 10992-2026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46079</v>
      </c>
      <c r="E27" s="1" t="n">
        <v>46268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Kyrkan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0</v>
      </c>
      <c r="V27" s="2" t="inlineStr">
        <is>
          <t>Ask</t>
        </is>
      </c>
      <c r="W27">
        <f>HYPERLINK("https://klasma.github.io/Logging_0582/artfynd/A 10992-2026 artfynd.xlsx", "A 10992-2026")</f>
        <v/>
      </c>
      <c r="X27">
        <f>HYPERLINK("https://klasma.github.io/Logging_0582/kartor/A 10992-2026 karta.png", "A 10992-2026")</f>
        <v/>
      </c>
      <c r="Y27">
        <f>HYPERLINK("https://klasma.github.io/Logging_0582/kartor_geotiff/A 10992-2026 georefererad karta.tif", "A 10992-2026")</f>
        <v/>
      </c>
      <c r="AA27">
        <f>HYPERLINK("https://klasma.github.io/Logging_0582/klagomål/A 10992-2026 FSC-klagomål.docx", "A 10992-2026")</f>
        <v/>
      </c>
      <c r="AB27">
        <f>HYPERLINK("https://klasma.github.io/Logging_0582/klagomålsmail/A 10992-2026 FSC-klagomål mail.docx", "A 10992-2026")</f>
        <v/>
      </c>
      <c r="AC27">
        <f>HYPERLINK("https://klasma.github.io/Logging_0582/tillsyn/A 10992-2026 tillsynsbegäran.docx", "A 10992-2026")</f>
        <v/>
      </c>
      <c r="AD27">
        <f>HYPERLINK("https://klasma.github.io/Logging_0582/tillsynsmail/A 10992-2026 tillsynsbegäran mail.docx", "A 10992-2026")</f>
        <v/>
      </c>
    </row>
    <row r="28" ht="15" customHeight="1">
      <c r="A28" t="inlineStr">
        <is>
          <t>A 30324-2024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45490</v>
      </c>
      <c r="E28" s="1" t="n">
        <v>46268</v>
      </c>
      <c r="F28" t="inlineStr">
        <is>
          <t>ÖSTERGÖTLANDS LÄN</t>
        </is>
      </c>
      <c r="G28" t="inlineStr">
        <is>
          <t>SÖDERKÖPING</t>
        </is>
      </c>
      <c r="I28" t="n">
        <v>10.9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Nattskärra</t>
        </is>
      </c>
      <c r="W28">
        <f>HYPERLINK("https://klasma.github.io/Logging_0582/artfynd/A 30324-2024 artfynd.xlsx", "A 30324-2024")</f>
        <v/>
      </c>
      <c r="X28">
        <f>HYPERLINK("https://klasma.github.io/Logging_0582/kartor/A 30324-2024 karta.png", "A 30324-2024")</f>
        <v/>
      </c>
      <c r="Y28">
        <f>HYPERLINK("https://klasma.github.io/Logging_0582/kartor_geotiff/A 30324-2024 georefererad karta.tif", "A 30324-2024")</f>
        <v/>
      </c>
      <c r="AA28">
        <f>HYPERLINK("https://klasma.github.io/Logging_0582/klagomål/A 30324-2024 FSC-klagomål.docx", "A 30324-2024")</f>
        <v/>
      </c>
      <c r="AB28">
        <f>HYPERLINK("https://klasma.github.io/Logging_0582/klagomålsmail/A 30324-2024 FSC-klagomål mail.docx", "A 30324-2024")</f>
        <v/>
      </c>
      <c r="AC28">
        <f>HYPERLINK("https://klasma.github.io/Logging_0582/tillsyn/A 30324-2024 tillsynsbegäran.docx", "A 30324-2024")</f>
        <v/>
      </c>
      <c r="AD28">
        <f>HYPERLINK("https://klasma.github.io/Logging_0582/tillsynsmail/A 30324-2024 tillsynsbegäran mail.docx", "A 30324-2024")</f>
        <v/>
      </c>
      <c r="AE28">
        <f>HYPERLINK("https://klasma.github.io/Logging_0582/fåglar/A 30324-2024 prioriterade fågelarter.docx", "A 30324-2024")</f>
        <v/>
      </c>
    </row>
    <row r="29" ht="15" customHeight="1">
      <c r="A29" t="inlineStr">
        <is>
          <t>A 17632-2026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46268</v>
      </c>
      <c r="F29" t="inlineStr">
        <is>
          <t>ÖSTERGÖTLANDS LÄN</t>
        </is>
      </c>
      <c r="G29" t="inlineStr">
        <is>
          <t>SÖDERKÖPING</t>
        </is>
      </c>
      <c r="I29" t="n">
        <v>3.3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Ekoxe</t>
        </is>
      </c>
      <c r="W29">
        <f>HYPERLINK("https://klasma.github.io/Logging_0582/artfynd/A 17632-2026 artfynd.xlsx", "A 17632-2026")</f>
        <v/>
      </c>
      <c r="X29">
        <f>HYPERLINK("https://klasma.github.io/Logging_0582/kartor/A 17632-2026 karta.png", "A 17632-2026")</f>
        <v/>
      </c>
      <c r="Y29">
        <f>HYPERLINK("https://klasma.github.io/Logging_0582/kartor_geotiff/A 17632-2026 georefererad karta.tif", "A 17632-2026")</f>
        <v/>
      </c>
      <c r="AA29">
        <f>HYPERLINK("https://klasma.github.io/Logging_0582/klagomål/A 17632-2026 FSC-klagomål.docx", "A 17632-2026")</f>
        <v/>
      </c>
      <c r="AB29">
        <f>HYPERLINK("https://klasma.github.io/Logging_0582/klagomålsmail/A 17632-2026 FSC-klagomål mail.docx", "A 17632-2026")</f>
        <v/>
      </c>
      <c r="AC29">
        <f>HYPERLINK("https://klasma.github.io/Logging_0582/tillsyn/A 17632-2026 tillsynsbegäran.docx", "A 17632-2026")</f>
        <v/>
      </c>
      <c r="AD29">
        <f>HYPERLINK("https://klasma.github.io/Logging_0582/tillsynsmail/A 17632-2026 tillsynsbegäran mail.docx", "A 17632-2026")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46268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46268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HYPERLINK("https://klasma.github.io/Logging_0582/artfynd/A 4709-2025 artfynd.xlsx", "A 4709-2025")</f>
        <v/>
      </c>
      <c r="X31">
        <f>HYPERLINK("https://klasma.github.io/Logging_0582/kartor/A 4709-2025 karta.png", "A 4709-2025")</f>
        <v/>
      </c>
      <c r="Y31">
        <f>HYPERLINK("https://klasma.github.io/Logging_0582/kartor_geotiff/A 4709-2025 georefererad karta.tif", "A 4709-2025")</f>
        <v/>
      </c>
      <c r="AA31">
        <f>HYPERLINK("https://klasma.github.io/Logging_0582/klagomål/A 4709-2025 FSC-klagomål.docx", "A 4709-2025")</f>
        <v/>
      </c>
      <c r="AB31">
        <f>HYPERLINK("https://klasma.github.io/Logging_0582/klagomålsmail/A 4709-2025 FSC-klagomål mail.docx", "A 4709-2025")</f>
        <v/>
      </c>
      <c r="AC31">
        <f>HYPERLINK("https://klasma.github.io/Logging_0582/tillsyn/A 4709-2025 tillsynsbegäran.docx", "A 4709-2025")</f>
        <v/>
      </c>
      <c r="AD31">
        <f>HYPERLINK("https://klasma.github.io/Logging_0582/tillsynsmail/A 4709-2025 tillsynsbegäran mail.docx", "A 4709-2025")</f>
        <v/>
      </c>
    </row>
    <row r="32" ht="15" customHeight="1">
      <c r="A32" t="inlineStr">
        <is>
          <t>A 22512-2024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46268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Kommuner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Skogsstjärna</t>
        </is>
      </c>
      <c r="W32">
        <f>HYPERLINK("https://klasma.github.io/Logging_0582/artfynd/A 22512-2024 artfynd.xlsx", "A 22512-2024")</f>
        <v/>
      </c>
      <c r="X32">
        <f>HYPERLINK("https://klasma.github.io/Logging_0582/kartor/A 22512-2024 karta.png", "A 22512-2024")</f>
        <v/>
      </c>
      <c r="Y32">
        <f>HYPERLINK("https://klasma.github.io/Logging_0582/kartor_geotiff/A 22512-2024 georefererad karta.tif", "A 22512-2024")</f>
        <v/>
      </c>
      <c r="AA32">
        <f>HYPERLINK("https://klasma.github.io/Logging_0582/klagomål/A 22512-2024 FSC-klagomål.docx", "A 22512-2024")</f>
        <v/>
      </c>
      <c r="AB32">
        <f>HYPERLINK("https://klasma.github.io/Logging_0582/klagomålsmail/A 22512-2024 FSC-klagomål mail.docx", "A 22512-2024")</f>
        <v/>
      </c>
      <c r="AC32">
        <f>HYPERLINK("https://klasma.github.io/Logging_0582/tillsyn/A 22512-2024 tillsynsbegäran.docx", "A 22512-2024")</f>
        <v/>
      </c>
      <c r="AD32">
        <f>HYPERLINK("https://klasma.github.io/Logging_0582/tillsynsmail/A 22512-2024 tillsynsbegäran mail.docx", "A 22512-2024")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46268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46268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46268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46268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46268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46268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46268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46268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46268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46268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46268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46268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46268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46268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46268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46268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46268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46268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46268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46268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46268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46268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46268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46268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46268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46268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46268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46268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46268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46268</v>
      </c>
      <c r="F62" t="inlineStr">
        <is>
          <t>ÖSTERGÖTLANDS LÄN</t>
        </is>
      </c>
      <c r="G62" t="inlineStr">
        <is>
          <t>SÖDERKÖPING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46268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46268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50873-2023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45218</v>
      </c>
      <c r="E65" s="1" t="n">
        <v>46268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46268</v>
      </c>
      <c r="F66" t="inlineStr">
        <is>
          <t>ÖSTERGÖTLANDS LÄN</t>
        </is>
      </c>
      <c r="G66" t="inlineStr">
        <is>
          <t>SÖDERKÖPING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46268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46268</v>
      </c>
      <c r="F68" t="inlineStr">
        <is>
          <t>ÖSTERGÖTLANDS LÄN</t>
        </is>
      </c>
      <c r="G68" t="inlineStr">
        <is>
          <t>SÖDERKÖPING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60160-2021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44495</v>
      </c>
      <c r="E69" s="1" t="n">
        <v>46268</v>
      </c>
      <c r="F69" t="inlineStr">
        <is>
          <t>ÖSTERGÖTLANDS LÄN</t>
        </is>
      </c>
      <c r="G69" t="inlineStr">
        <is>
          <t>SÖDERKÖPING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20221-2023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45055</v>
      </c>
      <c r="E70" s="1" t="n">
        <v>46268</v>
      </c>
      <c r="F70" t="inlineStr">
        <is>
          <t>ÖSTERGÖTLANDS LÄN</t>
        </is>
      </c>
      <c r="G70" t="inlineStr">
        <is>
          <t>SÖDERKÖPING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46268</v>
      </c>
      <c r="F71" t="inlineStr">
        <is>
          <t>ÖSTERGÖTLANDS LÄN</t>
        </is>
      </c>
      <c r="G71" t="inlineStr">
        <is>
          <t>SÖDERKÖPING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44958</v>
      </c>
      <c r="E72" s="1" t="n">
        <v>46268</v>
      </c>
      <c r="F72" t="inlineStr">
        <is>
          <t>ÖSTERGÖTLANDS LÄN</t>
        </is>
      </c>
      <c r="G72" t="inlineStr">
        <is>
          <t>SÖDERKÖPING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46268</v>
      </c>
      <c r="F73" t="inlineStr">
        <is>
          <t>ÖSTERGÖTLANDS LÄN</t>
        </is>
      </c>
      <c r="G73" t="inlineStr">
        <is>
          <t>SÖDERKÖPING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50866-2023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46268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46268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Holmen skog AB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46268</v>
      </c>
      <c r="F76" t="inlineStr">
        <is>
          <t>ÖSTERGÖTLANDS LÄN</t>
        </is>
      </c>
      <c r="G76" t="inlineStr">
        <is>
          <t>SÖDERKÖPING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44736</v>
      </c>
      <c r="E77" s="1" t="n">
        <v>46268</v>
      </c>
      <c r="F77" t="inlineStr">
        <is>
          <t>ÖSTERGÖTLANDS LÄN</t>
        </is>
      </c>
      <c r="G77" t="inlineStr">
        <is>
          <t>SÖDERKÖPING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46268</v>
      </c>
      <c r="F78" t="inlineStr">
        <is>
          <t>ÖSTERGÖTLANDS LÄN</t>
        </is>
      </c>
      <c r="G78" t="inlineStr">
        <is>
          <t>SÖDERKÖPING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45663</v>
      </c>
      <c r="E79" s="1" t="n">
        <v>46268</v>
      </c>
      <c r="F79" t="inlineStr">
        <is>
          <t>ÖSTERGÖTLANDS LÄN</t>
        </is>
      </c>
      <c r="G79" t="inlineStr">
        <is>
          <t>SÖDERKÖPING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46268</v>
      </c>
      <c r="F80" t="inlineStr">
        <is>
          <t>ÖSTERGÖTLANDS LÄN</t>
        </is>
      </c>
      <c r="G80" t="inlineStr">
        <is>
          <t>SÖDERKÖPING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25790-2023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45090</v>
      </c>
      <c r="E81" s="1" t="n">
        <v>46268</v>
      </c>
      <c r="F81" t="inlineStr">
        <is>
          <t>ÖSTERGÖTLANDS LÄN</t>
        </is>
      </c>
      <c r="G81" t="inlineStr">
        <is>
          <t>SÖDERKÖPING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46268</v>
      </c>
      <c r="F82" t="inlineStr">
        <is>
          <t>ÖSTERGÖTLANDS LÄN</t>
        </is>
      </c>
      <c r="G82" t="inlineStr">
        <is>
          <t>SÖDERKÖPING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46268</v>
      </c>
      <c r="F83" t="inlineStr">
        <is>
          <t>ÖSTERGÖTLANDS LÄN</t>
        </is>
      </c>
      <c r="G83" t="inlineStr">
        <is>
          <t>SÖDERKÖPING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46268</v>
      </c>
      <c r="F84" t="inlineStr">
        <is>
          <t>ÖSTERGÖTLANDS LÄN</t>
        </is>
      </c>
      <c r="G84" t="inlineStr">
        <is>
          <t>SÖDERKÖPING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37694-2023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46268</v>
      </c>
      <c r="F85" t="inlineStr">
        <is>
          <t>ÖSTERGÖTLANDS LÄN</t>
        </is>
      </c>
      <c r="G85" t="inlineStr">
        <is>
          <t>SÖDERKÖPING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46268</v>
      </c>
      <c r="F86" t="inlineStr">
        <is>
          <t>ÖSTERGÖTLANDS LÄN</t>
        </is>
      </c>
      <c r="G86" t="inlineStr">
        <is>
          <t>SÖDERKÖPING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46268</v>
      </c>
      <c r="F87" t="inlineStr">
        <is>
          <t>ÖSTERGÖTLANDS LÄN</t>
        </is>
      </c>
      <c r="G87" t="inlineStr">
        <is>
          <t>SÖDERKÖPING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45245</v>
      </c>
      <c r="E88" s="1" t="n">
        <v>46268</v>
      </c>
      <c r="F88" t="inlineStr">
        <is>
          <t>ÖSTERGÖTLANDS LÄN</t>
        </is>
      </c>
      <c r="G88" t="inlineStr">
        <is>
          <t>SÖDERKÖPING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14776-2025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46268</v>
      </c>
      <c r="F89" t="inlineStr">
        <is>
          <t>ÖSTERGÖTLANDS LÄN</t>
        </is>
      </c>
      <c r="G89" t="inlineStr">
        <is>
          <t>SÖDERKÖPING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46268</v>
      </c>
      <c r="F90" t="inlineStr">
        <is>
          <t>ÖSTERGÖTLANDS LÄN</t>
        </is>
      </c>
      <c r="G90" t="inlineStr">
        <is>
          <t>SÖDERKÖPING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46268</v>
      </c>
      <c r="F91" t="inlineStr">
        <is>
          <t>ÖSTERGÖTLANDS LÄN</t>
        </is>
      </c>
      <c r="G91" t="inlineStr">
        <is>
          <t>SÖDERKÖPING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46268</v>
      </c>
      <c r="F92" t="inlineStr">
        <is>
          <t>ÖSTERGÖTLANDS LÄN</t>
        </is>
      </c>
      <c r="G92" t="inlineStr">
        <is>
          <t>SÖDERKÖPING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44979</v>
      </c>
      <c r="E93" s="1" t="n">
        <v>46268</v>
      </c>
      <c r="F93" t="inlineStr">
        <is>
          <t>ÖSTERGÖTLANDS LÄN</t>
        </is>
      </c>
      <c r="G93" t="inlineStr">
        <is>
          <t>SÖDERKÖPING</t>
        </is>
      </c>
      <c r="H93" t="inlineStr">
        <is>
          <t>Allmännings- och besparingsskogar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45818</v>
      </c>
      <c r="E94" s="1" t="n">
        <v>46268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46268</v>
      </c>
      <c r="F95" t="inlineStr">
        <is>
          <t>ÖSTERGÖTLANDS LÄN</t>
        </is>
      </c>
      <c r="G95" t="inlineStr">
        <is>
          <t>SÖDERKÖPING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39854-2025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45891</v>
      </c>
      <c r="E96" s="1" t="n">
        <v>46268</v>
      </c>
      <c r="F96" t="inlineStr">
        <is>
          <t>ÖSTERGÖTLANDS LÄN</t>
        </is>
      </c>
      <c r="G96" t="inlineStr">
        <is>
          <t>SÖDERKÖPING</t>
        </is>
      </c>
      <c r="I96" t="n">
        <v>26.6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44734</v>
      </c>
      <c r="E97" s="1" t="n">
        <v>46268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46268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Holmen skog AB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46268</v>
      </c>
      <c r="F99" t="inlineStr">
        <is>
          <t>ÖSTERGÖTLANDS LÄN</t>
        </is>
      </c>
      <c r="G99" t="inlineStr">
        <is>
          <t>SÖDERKÖPING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45119</v>
      </c>
      <c r="E100" s="1" t="n">
        <v>46268</v>
      </c>
      <c r="F100" t="inlineStr">
        <is>
          <t>ÖSTERGÖTLANDS LÄN</t>
        </is>
      </c>
      <c r="G100" t="inlineStr">
        <is>
          <t>SÖDERKÖPING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45119</v>
      </c>
      <c r="E101" s="1" t="n">
        <v>46268</v>
      </c>
      <c r="F101" t="inlineStr">
        <is>
          <t>ÖSTERGÖTLANDS LÄN</t>
        </is>
      </c>
      <c r="G101" t="inlineStr">
        <is>
          <t>SÖDERKÖPING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46268</v>
      </c>
      <c r="F102" t="inlineStr">
        <is>
          <t>ÖSTERGÖTLANDS LÄN</t>
        </is>
      </c>
      <c r="G102" t="inlineStr">
        <is>
          <t>SÖDERKÖPING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45190</v>
      </c>
      <c r="E103" s="1" t="n">
        <v>46268</v>
      </c>
      <c r="F103" t="inlineStr">
        <is>
          <t>ÖSTERGÖTLANDS LÄN</t>
        </is>
      </c>
      <c r="G103" t="inlineStr">
        <is>
          <t>SÖDERKÖPING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45231</v>
      </c>
      <c r="E104" s="1" t="n">
        <v>46268</v>
      </c>
      <c r="F104" t="inlineStr">
        <is>
          <t>ÖSTERGÖTLANDS LÄN</t>
        </is>
      </c>
      <c r="G104" t="inlineStr">
        <is>
          <t>SÖDERKÖPING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23121-2025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46268</v>
      </c>
      <c r="F105" t="inlineStr">
        <is>
          <t>ÖSTERGÖTLANDS LÄN</t>
        </is>
      </c>
      <c r="G105" t="inlineStr">
        <is>
          <t>SÖDERKÖPING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45191</v>
      </c>
      <c r="E106" s="1" t="n">
        <v>46268</v>
      </c>
      <c r="F106" t="inlineStr">
        <is>
          <t>ÖSTERGÖTLANDS LÄN</t>
        </is>
      </c>
      <c r="G106" t="inlineStr">
        <is>
          <t>SÖDERKÖPING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44813</v>
      </c>
      <c r="E107" s="1" t="n">
        <v>46268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Holmen skog AB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46268</v>
      </c>
      <c r="F108" t="inlineStr">
        <is>
          <t>ÖSTERGÖTLANDS LÄN</t>
        </is>
      </c>
      <c r="G108" t="inlineStr">
        <is>
          <t>SÖDERKÖPING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45483-2023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45194</v>
      </c>
      <c r="E109" s="1" t="n">
        <v>46268</v>
      </c>
      <c r="F109" t="inlineStr">
        <is>
          <t>ÖSTERGÖTLANDS LÄN</t>
        </is>
      </c>
      <c r="G109" t="inlineStr">
        <is>
          <t>SÖDERKÖPING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45849</v>
      </c>
      <c r="E110" s="1" t="n">
        <v>46268</v>
      </c>
      <c r="F110" t="inlineStr">
        <is>
          <t>ÖSTERGÖTLANDS LÄN</t>
        </is>
      </c>
      <c r="G110" t="inlineStr">
        <is>
          <t>SÖDERKÖPING</t>
        </is>
      </c>
      <c r="I110" t="n">
        <v>9.300000000000001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46268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45849</v>
      </c>
      <c r="E112" s="1" t="n">
        <v>46268</v>
      </c>
      <c r="F112" t="inlineStr">
        <is>
          <t>ÖSTERGÖTLANDS LÄN</t>
        </is>
      </c>
      <c r="G112" t="inlineStr">
        <is>
          <t>SÖDERKÖPING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31628-2022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44775</v>
      </c>
      <c r="E113" s="1" t="n">
        <v>46268</v>
      </c>
      <c r="F113" t="inlineStr">
        <is>
          <t>ÖSTERGÖTLANDS LÄN</t>
        </is>
      </c>
      <c r="G113" t="inlineStr">
        <is>
          <t>SÖDERKÖPING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46268</v>
      </c>
      <c r="F114" t="inlineStr">
        <is>
          <t>ÖSTERGÖTLANDS LÄN</t>
        </is>
      </c>
      <c r="G114" t="inlineStr">
        <is>
          <t>SÖDERKÖPING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46268</v>
      </c>
      <c r="F115" t="inlineStr">
        <is>
          <t>ÖSTERGÖTLANDS LÄN</t>
        </is>
      </c>
      <c r="G115" t="inlineStr">
        <is>
          <t>SÖDERKÖPING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47428-2024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46268</v>
      </c>
      <c r="F116" t="inlineStr">
        <is>
          <t>ÖSTERGÖTLANDS LÄN</t>
        </is>
      </c>
      <c r="G116" t="inlineStr">
        <is>
          <t>SÖDERKÖPING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45774-2025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46268</v>
      </c>
      <c r="F117" t="inlineStr">
        <is>
          <t>ÖSTERGÖTLANDS LÄN</t>
        </is>
      </c>
      <c r="G117" t="inlineStr">
        <is>
          <t>SÖDERKÖPING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64211-2023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45279</v>
      </c>
      <c r="E118" s="1" t="n">
        <v>46268</v>
      </c>
      <c r="F118" t="inlineStr">
        <is>
          <t>ÖSTERGÖTLANDS LÄN</t>
        </is>
      </c>
      <c r="G118" t="inlineStr">
        <is>
          <t>SÖDERKÖPING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46268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46268</v>
      </c>
      <c r="F120" t="inlineStr">
        <is>
          <t>ÖSTERGÖTLANDS LÄN</t>
        </is>
      </c>
      <c r="G120" t="inlineStr">
        <is>
          <t>SÖDERKÖPING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46268</v>
      </c>
      <c r="F121" t="inlineStr">
        <is>
          <t>ÖSTERGÖTLANDS LÄN</t>
        </is>
      </c>
      <c r="G121" t="inlineStr">
        <is>
          <t>SÖDERKÖPING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46268</v>
      </c>
      <c r="F122" t="inlineStr">
        <is>
          <t>ÖSTERGÖTLANDS LÄN</t>
        </is>
      </c>
      <c r="G122" t="inlineStr">
        <is>
          <t>SÖDERKÖPING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46268</v>
      </c>
      <c r="F123" t="inlineStr">
        <is>
          <t>ÖSTERGÖTLANDS LÄN</t>
        </is>
      </c>
      <c r="G123" t="inlineStr">
        <is>
          <t>SÖDERKÖPING</t>
        </is>
      </c>
      <c r="H123" t="inlineStr">
        <is>
          <t>Allmännings- och besparingsskogar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46268</v>
      </c>
      <c r="F124" t="inlineStr">
        <is>
          <t>ÖSTERGÖTLANDS LÄN</t>
        </is>
      </c>
      <c r="G124" t="inlineStr">
        <is>
          <t>SÖDERKÖPING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46268</v>
      </c>
      <c r="F125" t="inlineStr">
        <is>
          <t>ÖSTERGÖTLANDS LÄN</t>
        </is>
      </c>
      <c r="G125" t="inlineStr">
        <is>
          <t>SÖDERKÖPING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46268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37343-2025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45876</v>
      </c>
      <c r="E127" s="1" t="n">
        <v>46268</v>
      </c>
      <c r="F127" t="inlineStr">
        <is>
          <t>ÖSTERGÖTLANDS LÄN</t>
        </is>
      </c>
      <c r="G127" t="inlineStr">
        <is>
          <t>SÖDERKÖPING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45876</v>
      </c>
      <c r="E128" s="1" t="n">
        <v>46268</v>
      </c>
      <c r="F128" t="inlineStr">
        <is>
          <t>ÖSTERGÖTLANDS LÄN</t>
        </is>
      </c>
      <c r="G128" t="inlineStr">
        <is>
          <t>SÖDERKÖPING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46268</v>
      </c>
      <c r="F129" t="inlineStr">
        <is>
          <t>ÖSTERGÖTLANDS LÄN</t>
        </is>
      </c>
      <c r="G129" t="inlineStr">
        <is>
          <t>SÖDERKÖPING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46268</v>
      </c>
      <c r="F130" t="inlineStr">
        <is>
          <t>ÖSTERGÖTLANDS LÄN</t>
        </is>
      </c>
      <c r="G130" t="inlineStr">
        <is>
          <t>SÖDERKÖPING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46050</v>
      </c>
      <c r="E131" s="1" t="n">
        <v>46268</v>
      </c>
      <c r="F131" t="inlineStr">
        <is>
          <t>ÖSTERGÖTLANDS LÄN</t>
        </is>
      </c>
      <c r="G131" t="inlineStr">
        <is>
          <t>SÖDERKÖPING</t>
        </is>
      </c>
      <c r="H131" t="inlineStr">
        <is>
          <t>Kyrkan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44965</v>
      </c>
      <c r="E132" s="1" t="n">
        <v>46268</v>
      </c>
      <c r="F132" t="inlineStr">
        <is>
          <t>ÖSTERGÖTLANDS LÄN</t>
        </is>
      </c>
      <c r="G132" t="inlineStr">
        <is>
          <t>SÖDERKÖPING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46268</v>
      </c>
      <c r="F133" t="inlineStr">
        <is>
          <t>ÖSTERGÖTLANDS LÄN</t>
        </is>
      </c>
      <c r="G133" t="inlineStr">
        <is>
          <t>SÖDERKÖPING</t>
        </is>
      </c>
      <c r="H133" t="inlineStr">
        <is>
          <t>Holmen skog AB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46268</v>
      </c>
      <c r="F134" t="inlineStr">
        <is>
          <t>ÖSTERGÖTLANDS LÄN</t>
        </is>
      </c>
      <c r="G134" t="inlineStr">
        <is>
          <t>SÖDERKÖPING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46268</v>
      </c>
      <c r="F135" t="inlineStr">
        <is>
          <t>ÖSTERGÖTLANDS LÄN</t>
        </is>
      </c>
      <c r="G135" t="inlineStr">
        <is>
          <t>SÖDERKÖPING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46055</v>
      </c>
      <c r="E136" s="1" t="n">
        <v>46268</v>
      </c>
      <c r="F136" t="inlineStr">
        <is>
          <t>ÖSTERGÖTLANDS LÄN</t>
        </is>
      </c>
      <c r="G136" t="inlineStr">
        <is>
          <t>SÖDERKÖPING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46268</v>
      </c>
      <c r="F137" t="inlineStr">
        <is>
          <t>ÖSTERGÖTLANDS LÄN</t>
        </is>
      </c>
      <c r="G137" t="inlineStr">
        <is>
          <t>SÖDERKÖPING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46055</v>
      </c>
      <c r="E138" s="1" t="n">
        <v>46268</v>
      </c>
      <c r="F138" t="inlineStr">
        <is>
          <t>ÖSTERGÖTLANDS LÄN</t>
        </is>
      </c>
      <c r="G138" t="inlineStr">
        <is>
          <t>SÖDERKÖPING</t>
        </is>
      </c>
      <c r="H138" t="inlineStr">
        <is>
          <t>Kyrkan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46268</v>
      </c>
      <c r="F139" t="inlineStr">
        <is>
          <t>ÖSTERGÖTLANDS LÄN</t>
        </is>
      </c>
      <c r="G139" t="inlineStr">
        <is>
          <t>SÖDERKÖPING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46268</v>
      </c>
      <c r="F140" t="inlineStr">
        <is>
          <t>ÖSTERGÖTLANDS LÄN</t>
        </is>
      </c>
      <c r="G140" t="inlineStr">
        <is>
          <t>SÖDERKÖPING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46268</v>
      </c>
      <c r="F141" t="inlineStr">
        <is>
          <t>ÖSTERGÖTLANDS LÄN</t>
        </is>
      </c>
      <c r="G141" t="inlineStr">
        <is>
          <t>SÖDERKÖPING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45106</v>
      </c>
      <c r="E142" s="1" t="n">
        <v>46268</v>
      </c>
      <c r="F142" t="inlineStr">
        <is>
          <t>ÖSTERGÖTLANDS LÄN</t>
        </is>
      </c>
      <c r="G142" t="inlineStr">
        <is>
          <t>SÖDERKÖPING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46268</v>
      </c>
      <c r="F143" t="inlineStr">
        <is>
          <t>ÖSTERGÖTLANDS LÄN</t>
        </is>
      </c>
      <c r="G143" t="inlineStr">
        <is>
          <t>SÖDERKÖPING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46268</v>
      </c>
      <c r="F144" t="inlineStr">
        <is>
          <t>ÖSTERGÖTLANDS LÄN</t>
        </is>
      </c>
      <c r="G144" t="inlineStr">
        <is>
          <t>SÖDERKÖPING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46268</v>
      </c>
      <c r="F145" t="inlineStr">
        <is>
          <t>ÖSTERGÖTLANDS LÄN</t>
        </is>
      </c>
      <c r="G145" t="inlineStr">
        <is>
          <t>SÖDERKÖPING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46268</v>
      </c>
      <c r="F146" t="inlineStr">
        <is>
          <t>ÖSTERGÖTLANDS LÄN</t>
        </is>
      </c>
      <c r="G146" t="inlineStr">
        <is>
          <t>SÖDERKÖPING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46268</v>
      </c>
      <c r="F147" t="inlineStr">
        <is>
          <t>ÖSTERGÖTLANDS LÄN</t>
        </is>
      </c>
      <c r="G147" t="inlineStr">
        <is>
          <t>SÖDERKÖPING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46268</v>
      </c>
      <c r="F148" t="inlineStr">
        <is>
          <t>ÖSTERGÖTLANDS LÄN</t>
        </is>
      </c>
      <c r="G148" t="inlineStr">
        <is>
          <t>SÖDERKÖPING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46061</v>
      </c>
      <c r="E149" s="1" t="n">
        <v>46268</v>
      </c>
      <c r="F149" t="inlineStr">
        <is>
          <t>ÖSTERGÖTLANDS LÄN</t>
        </is>
      </c>
      <c r="G149" t="inlineStr">
        <is>
          <t>SÖDERKÖPING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46268</v>
      </c>
      <c r="F150" t="inlineStr">
        <is>
          <t>ÖSTERGÖTLANDS LÄN</t>
        </is>
      </c>
      <c r="G150" t="inlineStr">
        <is>
          <t>SÖDERKÖPING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46268</v>
      </c>
      <c r="F151" t="inlineStr">
        <is>
          <t>ÖSTERGÖTLANDS LÄN</t>
        </is>
      </c>
      <c r="G151" t="inlineStr">
        <is>
          <t>SÖDERKÖPING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45961</v>
      </c>
      <c r="E152" s="1" t="n">
        <v>46268</v>
      </c>
      <c r="F152" t="inlineStr">
        <is>
          <t>ÖSTERGÖTLANDS LÄN</t>
        </is>
      </c>
      <c r="G152" t="inlineStr">
        <is>
          <t>SÖDERKÖPING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46268</v>
      </c>
      <c r="F153" t="inlineStr">
        <is>
          <t>ÖSTERGÖTLANDS LÄN</t>
        </is>
      </c>
      <c r="G153" t="inlineStr">
        <is>
          <t>SÖDERKÖPING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45197</v>
      </c>
      <c r="E154" s="1" t="n">
        <v>46268</v>
      </c>
      <c r="F154" t="inlineStr">
        <is>
          <t>ÖSTERGÖTLANDS LÄN</t>
        </is>
      </c>
      <c r="G154" t="inlineStr">
        <is>
          <t>SÖDERKÖPING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46268</v>
      </c>
      <c r="F155" t="inlineStr">
        <is>
          <t>ÖSTERGÖTLANDS LÄN</t>
        </is>
      </c>
      <c r="G155" t="inlineStr">
        <is>
          <t>SÖDERKÖPING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45250</v>
      </c>
      <c r="E156" s="1" t="n">
        <v>46268</v>
      </c>
      <c r="F156" t="inlineStr">
        <is>
          <t>ÖSTERGÖTLANDS LÄN</t>
        </is>
      </c>
      <c r="G156" t="inlineStr">
        <is>
          <t>SÖDERKÖPING</t>
        </is>
      </c>
      <c r="H156" t="inlineStr">
        <is>
          <t>Holmen skog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46268</v>
      </c>
      <c r="F157" t="inlineStr">
        <is>
          <t>ÖSTERGÖTLANDS LÄN</t>
        </is>
      </c>
      <c r="G157" t="inlineStr">
        <is>
          <t>SÖDERKÖPING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14579-2025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46268</v>
      </c>
      <c r="F158" t="inlineStr">
        <is>
          <t>ÖSTERGÖTLANDS LÄN</t>
        </is>
      </c>
      <c r="G158" t="inlineStr">
        <is>
          <t>SÖDERKÖPING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45376</v>
      </c>
      <c r="E159" s="1" t="n">
        <v>46268</v>
      </c>
      <c r="F159" t="inlineStr">
        <is>
          <t>ÖSTERGÖTLANDS LÄN</t>
        </is>
      </c>
      <c r="G159" t="inlineStr">
        <is>
          <t>SÖDERKÖPING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56163-2025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46268</v>
      </c>
      <c r="F160" t="inlineStr">
        <is>
          <t>ÖSTERGÖTLANDS LÄN</t>
        </is>
      </c>
      <c r="G160" t="inlineStr">
        <is>
          <t>SÖDERKÖPING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46268</v>
      </c>
      <c r="F161" t="inlineStr">
        <is>
          <t>ÖSTERGÖTLANDS LÄN</t>
        </is>
      </c>
      <c r="G161" t="inlineStr">
        <is>
          <t>SÖDERKÖPING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11005-2026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46079</v>
      </c>
      <c r="E162" s="1" t="n">
        <v>46268</v>
      </c>
      <c r="F162" t="inlineStr">
        <is>
          <t>ÖSTERGÖTLANDS LÄN</t>
        </is>
      </c>
      <c r="G162" t="inlineStr">
        <is>
          <t>SÖDERKÖPING</t>
        </is>
      </c>
      <c r="H162" t="inlineStr">
        <is>
          <t>Kyrkan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57888-2022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44900</v>
      </c>
      <c r="E163" s="1" t="n">
        <v>46268</v>
      </c>
      <c r="F163" t="inlineStr">
        <is>
          <t>ÖSTERGÖTLANDS LÄN</t>
        </is>
      </c>
      <c r="G163" t="inlineStr">
        <is>
          <t>SÖDERKÖPING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46268</v>
      </c>
      <c r="F164" t="inlineStr">
        <is>
          <t>ÖSTERGÖTLANDS LÄN</t>
        </is>
      </c>
      <c r="G164" t="inlineStr">
        <is>
          <t>SÖDERKÖPING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46268</v>
      </c>
      <c r="F165" t="inlineStr">
        <is>
          <t>ÖSTERGÖTLANDS LÄN</t>
        </is>
      </c>
      <c r="G165" t="inlineStr">
        <is>
          <t>SÖDERKÖPING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46268</v>
      </c>
      <c r="F166" t="inlineStr">
        <is>
          <t>ÖSTERGÖTLANDS LÄN</t>
        </is>
      </c>
      <c r="G166" t="inlineStr">
        <is>
          <t>SÖDERKÖPING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46268</v>
      </c>
      <c r="F167" t="inlineStr">
        <is>
          <t>ÖSTERGÖTLANDS LÄN</t>
        </is>
      </c>
      <c r="G167" t="inlineStr">
        <is>
          <t>SÖDERKÖPING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46268</v>
      </c>
      <c r="F168" t="inlineStr">
        <is>
          <t>ÖSTERGÖTLANDS LÄN</t>
        </is>
      </c>
      <c r="G168" t="inlineStr">
        <is>
          <t>SÖDERKÖPING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44917</v>
      </c>
      <c r="E169" s="1" t="n">
        <v>46268</v>
      </c>
      <c r="F169" t="inlineStr">
        <is>
          <t>ÖSTERGÖTLANDS LÄN</t>
        </is>
      </c>
      <c r="G169" t="inlineStr">
        <is>
          <t>SÖDERKÖPING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45504</v>
      </c>
      <c r="E170" s="1" t="n">
        <v>46268</v>
      </c>
      <c r="F170" t="inlineStr">
        <is>
          <t>ÖSTERGÖTLANDS LÄN</t>
        </is>
      </c>
      <c r="G170" t="inlineStr">
        <is>
          <t>SÖDERKÖPING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46268</v>
      </c>
      <c r="F171" t="inlineStr">
        <is>
          <t>ÖSTERGÖTLANDS LÄN</t>
        </is>
      </c>
      <c r="G171" t="inlineStr">
        <is>
          <t>SÖDERKÖPING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46268</v>
      </c>
      <c r="F172" t="inlineStr">
        <is>
          <t>ÖSTERGÖTLANDS LÄN</t>
        </is>
      </c>
      <c r="G172" t="inlineStr">
        <is>
          <t>SÖDERKÖPING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44861</v>
      </c>
      <c r="E173" s="1" t="n">
        <v>46268</v>
      </c>
      <c r="F173" t="inlineStr">
        <is>
          <t>ÖSTERGÖTLANDS LÄN</t>
        </is>
      </c>
      <c r="G173" t="inlineStr">
        <is>
          <t>SÖDERKÖPING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46268</v>
      </c>
      <c r="F174" t="inlineStr">
        <is>
          <t>ÖSTERGÖTLANDS LÄN</t>
        </is>
      </c>
      <c r="G174" t="inlineStr">
        <is>
          <t>SÖDERKÖPING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34917-2022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44796</v>
      </c>
      <c r="E175" s="1" t="n">
        <v>46268</v>
      </c>
      <c r="F175" t="inlineStr">
        <is>
          <t>ÖSTERGÖTLANDS LÄN</t>
        </is>
      </c>
      <c r="G175" t="inlineStr">
        <is>
          <t>SÖDERKÖPING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45399</v>
      </c>
      <c r="E176" s="1" t="n">
        <v>46268</v>
      </c>
      <c r="F176" t="inlineStr">
        <is>
          <t>ÖSTERGÖTLANDS LÄN</t>
        </is>
      </c>
      <c r="G176" t="inlineStr">
        <is>
          <t>SÖDERKÖPING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46268</v>
      </c>
      <c r="F177" t="inlineStr">
        <is>
          <t>ÖSTERGÖTLANDS LÄN</t>
        </is>
      </c>
      <c r="G177" t="inlineStr">
        <is>
          <t>SÖDERKÖPING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46268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69425-2021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44531</v>
      </c>
      <c r="E179" s="1" t="n">
        <v>46268</v>
      </c>
      <c r="F179" t="inlineStr">
        <is>
          <t>ÖSTERGÖTLANDS LÄN</t>
        </is>
      </c>
      <c r="G179" t="inlineStr">
        <is>
          <t>SÖDERKÖPING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46268</v>
      </c>
      <c r="F180" t="inlineStr">
        <is>
          <t>ÖSTERGÖTLANDS LÄN</t>
        </is>
      </c>
      <c r="G180" t="inlineStr">
        <is>
          <t>SÖDERKÖPING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46268</v>
      </c>
      <c r="F181" t="inlineStr">
        <is>
          <t>ÖSTERGÖTLANDS LÄN</t>
        </is>
      </c>
      <c r="G181" t="inlineStr">
        <is>
          <t>SÖDERKÖPING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46268</v>
      </c>
      <c r="F182" t="inlineStr">
        <is>
          <t>ÖSTERGÖTLANDS LÄN</t>
        </is>
      </c>
      <c r="G182" t="inlineStr">
        <is>
          <t>SÖDERKÖPING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46268</v>
      </c>
      <c r="F183" t="inlineStr">
        <is>
          <t>ÖSTERGÖTLANDS LÄN</t>
        </is>
      </c>
      <c r="G183" t="inlineStr">
        <is>
          <t>SÖDERKÖPING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46268</v>
      </c>
      <c r="F184" t="inlineStr">
        <is>
          <t>ÖSTERGÖTLANDS LÄN</t>
        </is>
      </c>
      <c r="G184" t="inlineStr">
        <is>
          <t>SÖDERKÖPING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46268</v>
      </c>
      <c r="F185" t="inlineStr">
        <is>
          <t>ÖSTERGÖTLANDS LÄN</t>
        </is>
      </c>
      <c r="G185" t="inlineStr">
        <is>
          <t>SÖDERKÖPING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46268</v>
      </c>
      <c r="F186" t="inlineStr">
        <is>
          <t>ÖSTERGÖTLANDS LÄN</t>
        </is>
      </c>
      <c r="G186" t="inlineStr">
        <is>
          <t>SÖDERKÖPING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46268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Allmännings- och besparingsskogar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46100</v>
      </c>
      <c r="E188" s="1" t="n">
        <v>46268</v>
      </c>
      <c r="F188" t="inlineStr">
        <is>
          <t>ÖSTERGÖTLANDS LÄN</t>
        </is>
      </c>
      <c r="G188" t="inlineStr">
        <is>
          <t>SÖDERKÖPING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14777-2026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46101</v>
      </c>
      <c r="E189" s="1" t="n">
        <v>46268</v>
      </c>
      <c r="F189" t="inlineStr">
        <is>
          <t>ÖSTERGÖTLANDS LÄN</t>
        </is>
      </c>
      <c r="G189" t="inlineStr">
        <is>
          <t>SÖDERKÖPING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46101</v>
      </c>
      <c r="E190" s="1" t="n">
        <v>46268</v>
      </c>
      <c r="F190" t="inlineStr">
        <is>
          <t>ÖSTERGÖTLANDS LÄN</t>
        </is>
      </c>
      <c r="G190" t="inlineStr">
        <is>
          <t>SÖDERKÖPING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45180</v>
      </c>
      <c r="E191" s="1" t="n">
        <v>46268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Allmännings- och besparingsskogar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45426</v>
      </c>
      <c r="E192" s="1" t="n">
        <v>46268</v>
      </c>
      <c r="F192" t="inlineStr">
        <is>
          <t>ÖSTERGÖTLANDS LÄN</t>
        </is>
      </c>
      <c r="G192" t="inlineStr">
        <is>
          <t>SÖDERKÖPING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46268</v>
      </c>
      <c r="F193" t="inlineStr">
        <is>
          <t>ÖSTERGÖTLANDS LÄN</t>
        </is>
      </c>
      <c r="G193" t="inlineStr">
        <is>
          <t>SÖDERKÖPING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66362-2021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46268</v>
      </c>
      <c r="F194" t="inlineStr">
        <is>
          <t>ÖSTERGÖTLANDS LÄN</t>
        </is>
      </c>
      <c r="G194" t="inlineStr">
        <is>
          <t>SÖDERKÖPING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46268</v>
      </c>
      <c r="F195" t="inlineStr">
        <is>
          <t>ÖSTERGÖTLANDS LÄN</t>
        </is>
      </c>
      <c r="G195" t="inlineStr">
        <is>
          <t>SÖDERKÖPING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46268</v>
      </c>
      <c r="F196" t="inlineStr">
        <is>
          <t>ÖSTERGÖTLANDS LÄN</t>
        </is>
      </c>
      <c r="G196" t="inlineStr">
        <is>
          <t>SÖDERKÖPING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46268</v>
      </c>
      <c r="F197" t="inlineStr">
        <is>
          <t>ÖSTERGÖTLANDS LÄN</t>
        </is>
      </c>
      <c r="G197" t="inlineStr">
        <is>
          <t>SÖDERKÖPING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46111</v>
      </c>
      <c r="E198" s="1" t="n">
        <v>46268</v>
      </c>
      <c r="F198" t="inlineStr">
        <is>
          <t>ÖSTERGÖTLANDS LÄN</t>
        </is>
      </c>
      <c r="G198" t="inlineStr">
        <is>
          <t>SÖDERKÖPING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46268</v>
      </c>
      <c r="F199" t="inlineStr">
        <is>
          <t>ÖSTERGÖTLANDS LÄN</t>
        </is>
      </c>
      <c r="G199" t="inlineStr">
        <is>
          <t>SÖDERKÖPING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46268</v>
      </c>
      <c r="F200" t="inlineStr">
        <is>
          <t>ÖSTERGÖTLANDS LÄN</t>
        </is>
      </c>
      <c r="G200" t="inlineStr">
        <is>
          <t>SÖDERKÖPING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46268</v>
      </c>
      <c r="F201" t="inlineStr">
        <is>
          <t>ÖSTERGÖTLANDS LÄN</t>
        </is>
      </c>
      <c r="G201" t="inlineStr">
        <is>
          <t>SÖDERKÖPING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45194</v>
      </c>
      <c r="E202" s="1" t="n">
        <v>46268</v>
      </c>
      <c r="F202" t="inlineStr">
        <is>
          <t>ÖSTERGÖTLANDS LÄN</t>
        </is>
      </c>
      <c r="G202" t="inlineStr">
        <is>
          <t>SÖDERKÖPING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46268</v>
      </c>
      <c r="F203" t="inlineStr">
        <is>
          <t>ÖSTERGÖTLANDS LÄN</t>
        </is>
      </c>
      <c r="G203" t="inlineStr">
        <is>
          <t>SÖDERKÖPING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44953</v>
      </c>
      <c r="E204" s="1" t="n">
        <v>46268</v>
      </c>
      <c r="F204" t="inlineStr">
        <is>
          <t>ÖSTERGÖTLANDS LÄN</t>
        </is>
      </c>
      <c r="G204" t="inlineStr">
        <is>
          <t>SÖDERKÖPING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46268</v>
      </c>
      <c r="F205" t="inlineStr">
        <is>
          <t>ÖSTERGÖTLANDS LÄN</t>
        </is>
      </c>
      <c r="G205" t="inlineStr">
        <is>
          <t>SÖDERKÖPING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46268</v>
      </c>
      <c r="F206" t="inlineStr">
        <is>
          <t>ÖSTERGÖTLANDS LÄN</t>
        </is>
      </c>
      <c r="G206" t="inlineStr">
        <is>
          <t>SÖDERKÖPING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46134</v>
      </c>
      <c r="E207" s="1" t="n">
        <v>46268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46268</v>
      </c>
      <c r="F208" t="inlineStr">
        <is>
          <t>ÖSTERGÖTLANDS LÄN</t>
        </is>
      </c>
      <c r="G208" t="inlineStr">
        <is>
          <t>SÖDERKÖPING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46268</v>
      </c>
      <c r="F209" t="inlineStr">
        <is>
          <t>ÖSTERGÖTLANDS LÄN</t>
        </is>
      </c>
      <c r="G209" t="inlineStr">
        <is>
          <t>SÖDERKÖPING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17357-2025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45756</v>
      </c>
      <c r="E210" s="1" t="n">
        <v>46268</v>
      </c>
      <c r="F210" t="inlineStr">
        <is>
          <t>ÖSTERGÖTLANDS LÄN</t>
        </is>
      </c>
      <c r="G210" t="inlineStr">
        <is>
          <t>SÖDERKÖPING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44901</v>
      </c>
      <c r="E211" s="1" t="n">
        <v>46268</v>
      </c>
      <c r="F211" t="inlineStr">
        <is>
          <t>ÖSTERGÖTLANDS LÄN</t>
        </is>
      </c>
      <c r="G211" t="inlineStr">
        <is>
          <t>SÖDERKÖPING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45667</v>
      </c>
      <c r="E212" s="1" t="n">
        <v>46268</v>
      </c>
      <c r="F212" t="inlineStr">
        <is>
          <t>ÖSTERGÖTLANDS LÄN</t>
        </is>
      </c>
      <c r="G212" t="inlineStr">
        <is>
          <t>SÖDERKÖPING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44984</v>
      </c>
      <c r="E213" s="1" t="n">
        <v>46268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Allmännings- och besparingsskogar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46268</v>
      </c>
      <c r="F214" t="inlineStr">
        <is>
          <t>ÖSTERGÖTLANDS LÄN</t>
        </is>
      </c>
      <c r="G214" t="inlineStr">
        <is>
          <t>SÖDERKÖPING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45782</v>
      </c>
      <c r="E215" s="1" t="n">
        <v>46268</v>
      </c>
      <c r="F215" t="inlineStr">
        <is>
          <t>ÖSTERGÖTLANDS LÄN</t>
        </is>
      </c>
      <c r="G215" t="inlineStr">
        <is>
          <t>SÖDERKÖPING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46268</v>
      </c>
      <c r="F216" t="inlineStr">
        <is>
          <t>ÖSTERGÖTLANDS LÄN</t>
        </is>
      </c>
      <c r="G216" t="inlineStr">
        <is>
          <t>SÖDERKÖPING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46268</v>
      </c>
      <c r="F217" t="inlineStr">
        <is>
          <t>ÖSTERGÖTLANDS LÄN</t>
        </is>
      </c>
      <c r="G217" t="inlineStr">
        <is>
          <t>SÖDERKÖPING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47368-2021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44447</v>
      </c>
      <c r="E218" s="1" t="n">
        <v>46268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46268</v>
      </c>
      <c r="F219" t="inlineStr">
        <is>
          <t>ÖSTERGÖTLANDS LÄN</t>
        </is>
      </c>
      <c r="G219" t="inlineStr">
        <is>
          <t>SÖDERKÖPING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44928</v>
      </c>
      <c r="E220" s="1" t="n">
        <v>46268</v>
      </c>
      <c r="F220" t="inlineStr">
        <is>
          <t>ÖSTERGÖTLANDS LÄN</t>
        </is>
      </c>
      <c r="G220" t="inlineStr">
        <is>
          <t>SÖDERKÖPING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36734-2022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46268</v>
      </c>
      <c r="F221" t="inlineStr">
        <is>
          <t>ÖSTERGÖTLANDS LÄN</t>
        </is>
      </c>
      <c r="G221" t="inlineStr">
        <is>
          <t>SÖDERKÖPING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46268</v>
      </c>
      <c r="F222" t="inlineStr">
        <is>
          <t>ÖSTERGÖTLANDS LÄN</t>
        </is>
      </c>
      <c r="G222" t="inlineStr">
        <is>
          <t>SÖDERKÖPING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19974-2026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46268</v>
      </c>
      <c r="F223" t="inlineStr">
        <is>
          <t>ÖSTERGÖTLANDS LÄN</t>
        </is>
      </c>
      <c r="G223" t="inlineStr">
        <is>
          <t>SÖDERKÖPING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46268</v>
      </c>
      <c r="F224" t="inlineStr">
        <is>
          <t>ÖSTERGÖTLANDS LÄN</t>
        </is>
      </c>
      <c r="G224" t="inlineStr">
        <is>
          <t>SÖDERKÖPING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46268</v>
      </c>
      <c r="F225" t="inlineStr">
        <is>
          <t>ÖSTERGÖTLANDS LÄN</t>
        </is>
      </c>
      <c r="G225" t="inlineStr">
        <is>
          <t>SÖDERKÖPING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46139</v>
      </c>
      <c r="E226" s="1" t="n">
        <v>46268</v>
      </c>
      <c r="F226" t="inlineStr">
        <is>
          <t>ÖSTERGÖTLANDS LÄN</t>
        </is>
      </c>
      <c r="G226" t="inlineStr">
        <is>
          <t>SÖDERKÖPING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54787-2022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44883</v>
      </c>
      <c r="E227" s="1" t="n">
        <v>46268</v>
      </c>
      <c r="F227" t="inlineStr">
        <is>
          <t>ÖSTERGÖTLANDS LÄN</t>
        </is>
      </c>
      <c r="G227" t="inlineStr">
        <is>
          <t>SÖDERKÖPING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45549-2023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46268</v>
      </c>
      <c r="F228" t="inlineStr">
        <is>
          <t>ÖSTERGÖTLANDS LÄN</t>
        </is>
      </c>
      <c r="G228" t="inlineStr">
        <is>
          <t>SÖDERKÖPING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46268</v>
      </c>
      <c r="F229" t="inlineStr">
        <is>
          <t>ÖSTERGÖTLANDS LÄN</t>
        </is>
      </c>
      <c r="G229" t="inlineStr">
        <is>
          <t>SÖDERKÖPING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20688-2026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46268</v>
      </c>
      <c r="F230" t="inlineStr">
        <is>
          <t>ÖSTERGÖTLANDS LÄN</t>
        </is>
      </c>
      <c r="G230" t="inlineStr">
        <is>
          <t>SÖDERKÖPING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45849</v>
      </c>
      <c r="E231" s="1" t="n">
        <v>46268</v>
      </c>
      <c r="F231" t="inlineStr">
        <is>
          <t>ÖSTERGÖTLANDS LÄN</t>
        </is>
      </c>
      <c r="G231" t="inlineStr">
        <is>
          <t>SÖDERKÖPING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46268</v>
      </c>
      <c r="F232" t="inlineStr">
        <is>
          <t>ÖSTERGÖTLANDS LÄN</t>
        </is>
      </c>
      <c r="G232" t="inlineStr">
        <is>
          <t>SÖDERKÖPING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46268</v>
      </c>
      <c r="F233" t="inlineStr">
        <is>
          <t>ÖSTERGÖTLANDS LÄN</t>
        </is>
      </c>
      <c r="G233" t="inlineStr">
        <is>
          <t>SÖDERKÖPING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44834-2023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45190</v>
      </c>
      <c r="E234" s="1" t="n">
        <v>46268</v>
      </c>
      <c r="F234" t="inlineStr">
        <is>
          <t>ÖSTERGÖTLANDS LÄN</t>
        </is>
      </c>
      <c r="G234" t="inlineStr">
        <is>
          <t>SÖDERKÖPING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46268</v>
      </c>
      <c r="F235" t="inlineStr">
        <is>
          <t>ÖSTERGÖTLANDS LÄN</t>
        </is>
      </c>
      <c r="G235" t="inlineStr">
        <is>
          <t>SÖDERKÖPING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44911</v>
      </c>
      <c r="E236" s="1" t="n">
        <v>46268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Allmännings- och besparingsskogar</t>
        </is>
      </c>
      <c r="I236" t="n">
        <v>10.8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46150</v>
      </c>
      <c r="E237" s="1" t="n">
        <v>46268</v>
      </c>
      <c r="F237" t="inlineStr">
        <is>
          <t>ÖSTERGÖTLANDS LÄN</t>
        </is>
      </c>
      <c r="G237" t="inlineStr">
        <is>
          <t>SÖDERKÖPING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64825-2023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45282</v>
      </c>
      <c r="E238" s="1" t="n">
        <v>46268</v>
      </c>
      <c r="F238" t="inlineStr">
        <is>
          <t>ÖSTERGÖTLANDS LÄN</t>
        </is>
      </c>
      <c r="G238" t="inlineStr">
        <is>
          <t>SÖDERKÖPING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46150</v>
      </c>
      <c r="E239" s="1" t="n">
        <v>46268</v>
      </c>
      <c r="F239" t="inlineStr">
        <is>
          <t>ÖSTERGÖTLANDS LÄN</t>
        </is>
      </c>
      <c r="G239" t="inlineStr">
        <is>
          <t>SÖDERKÖPING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46268</v>
      </c>
      <c r="F240" t="inlineStr">
        <is>
          <t>ÖSTERGÖTLANDS LÄN</t>
        </is>
      </c>
      <c r="G240" t="inlineStr">
        <is>
          <t>SÖDERKÖPING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66075-2021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44517</v>
      </c>
      <c r="E241" s="1" t="n">
        <v>46268</v>
      </c>
      <c r="F241" t="inlineStr">
        <is>
          <t>ÖSTERGÖTLANDS LÄN</t>
        </is>
      </c>
      <c r="G241" t="inlineStr">
        <is>
          <t>SÖDERKÖPING</t>
        </is>
      </c>
      <c r="H241" t="inlineStr">
        <is>
          <t>Kyrkan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46268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46268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Allmännings- och besparingsskogar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46161</v>
      </c>
      <c r="E244" s="1" t="n">
        <v>46268</v>
      </c>
      <c r="F244" t="inlineStr">
        <is>
          <t>ÖSTERGÖTLANDS LÄN</t>
        </is>
      </c>
      <c r="G244" t="inlineStr">
        <is>
          <t>SÖDERKÖPING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46268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Allmännings- och besparingsskogar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50050-2023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45215</v>
      </c>
      <c r="E246" s="1" t="n">
        <v>46268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23518-2026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46268</v>
      </c>
      <c r="F247" t="inlineStr">
        <is>
          <t>ÖSTERGÖTLANDS LÄN</t>
        </is>
      </c>
      <c r="G247" t="inlineStr">
        <is>
          <t>SÖDERKÖPING</t>
        </is>
      </c>
      <c r="H247" t="inlineStr">
        <is>
          <t>Allmännings- och besparingsskogar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45058</v>
      </c>
      <c r="E248" s="1" t="n">
        <v>46268</v>
      </c>
      <c r="F248" t="inlineStr">
        <is>
          <t>ÖSTERGÖTLANDS LÄN</t>
        </is>
      </c>
      <c r="G248" t="inlineStr">
        <is>
          <t>SÖDERKÖPING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45684</v>
      </c>
      <c r="E249" s="1" t="n">
        <v>46268</v>
      </c>
      <c r="F249" t="inlineStr">
        <is>
          <t>ÖSTERGÖTLANDS LÄN</t>
        </is>
      </c>
      <c r="G249" t="inlineStr">
        <is>
          <t>SÖDERKÖPING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46268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Holmen skog AB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45344</v>
      </c>
      <c r="E251" s="1" t="n">
        <v>46268</v>
      </c>
      <c r="F251" t="inlineStr">
        <is>
          <t>ÖSTERGÖTLANDS LÄN</t>
        </is>
      </c>
      <c r="G251" t="inlineStr">
        <is>
          <t>SÖDERKÖPING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46268</v>
      </c>
      <c r="F252" t="inlineStr">
        <is>
          <t>ÖSTERGÖTLANDS LÄN</t>
        </is>
      </c>
      <c r="G252" t="inlineStr">
        <is>
          <t>SÖDERKÖPING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46171</v>
      </c>
      <c r="E253" s="1" t="n">
        <v>46268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46174</v>
      </c>
      <c r="E254" s="1" t="n">
        <v>46268</v>
      </c>
      <c r="F254" t="inlineStr">
        <is>
          <t>ÖSTERGÖTLANDS LÄN</t>
        </is>
      </c>
      <c r="G254" t="inlineStr">
        <is>
          <t>SÖDERKÖPING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44956</v>
      </c>
      <c r="E255" s="1" t="n">
        <v>46268</v>
      </c>
      <c r="F255" t="inlineStr">
        <is>
          <t>ÖSTERGÖTLANDS LÄN</t>
        </is>
      </c>
      <c r="G255" t="inlineStr">
        <is>
          <t>SÖDERKÖPING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44711</v>
      </c>
      <c r="E256" s="1" t="n">
        <v>46268</v>
      </c>
      <c r="F256" t="inlineStr">
        <is>
          <t>ÖSTERGÖTLANDS LÄN</t>
        </is>
      </c>
      <c r="G256" t="inlineStr">
        <is>
          <t>SÖDERKÖPING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46268</v>
      </c>
      <c r="F257" t="inlineStr">
        <is>
          <t>ÖSTERGÖTLANDS LÄN</t>
        </is>
      </c>
      <c r="G257" t="inlineStr">
        <is>
          <t>SÖDERKÖPING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9746-2022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44618</v>
      </c>
      <c r="E258" s="1" t="n">
        <v>46268</v>
      </c>
      <c r="F258" t="inlineStr">
        <is>
          <t>ÖSTERGÖTLANDS LÄN</t>
        </is>
      </c>
      <c r="G258" t="inlineStr">
        <is>
          <t>SÖDERKÖPING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22208-2026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46153</v>
      </c>
      <c r="E259" s="1" t="n">
        <v>46268</v>
      </c>
      <c r="F259" t="inlineStr">
        <is>
          <t>ÖSTERGÖTLANDS LÄN</t>
        </is>
      </c>
      <c r="G259" t="inlineStr">
        <is>
          <t>SÖDERKÖPING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45293</v>
      </c>
      <c r="E260" s="1" t="n">
        <v>46268</v>
      </c>
      <c r="F260" t="inlineStr">
        <is>
          <t>ÖSTERGÖTLANDS LÄN</t>
        </is>
      </c>
      <c r="G260" t="inlineStr">
        <is>
          <t>SÖDERKÖPING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46268</v>
      </c>
      <c r="F261" t="inlineStr">
        <is>
          <t>ÖSTERGÖTLANDS LÄN</t>
        </is>
      </c>
      <c r="G261" t="inlineStr">
        <is>
          <t>SÖDERKÖPING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26439-2026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46183</v>
      </c>
      <c r="E262" s="1" t="n">
        <v>46268</v>
      </c>
      <c r="F262" t="inlineStr">
        <is>
          <t>ÖSTERGÖTLANDS LÄN</t>
        </is>
      </c>
      <c r="G262" t="inlineStr">
        <is>
          <t>SÖDERKÖPING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46183</v>
      </c>
      <c r="E263" s="1" t="n">
        <v>46268</v>
      </c>
      <c r="F263" t="inlineStr">
        <is>
          <t>ÖSTERGÖTLANDS LÄN</t>
        </is>
      </c>
      <c r="G263" t="inlineStr">
        <is>
          <t>SÖDERKÖPING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46268</v>
      </c>
      <c r="F264" t="inlineStr">
        <is>
          <t>ÖSTERGÖTLANDS LÄN</t>
        </is>
      </c>
      <c r="G264" t="inlineStr">
        <is>
          <t>SÖDERKÖPING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46268</v>
      </c>
      <c r="F265" t="inlineStr">
        <is>
          <t>ÖSTERGÖTLANDS LÄN</t>
        </is>
      </c>
      <c r="G265" t="inlineStr">
        <is>
          <t>SÖDERKÖPING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46268</v>
      </c>
      <c r="F266" t="inlineStr">
        <is>
          <t>ÖSTERGÖTLANDS LÄN</t>
        </is>
      </c>
      <c r="G266" t="inlineStr">
        <is>
          <t>SÖDERKÖPING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46268</v>
      </c>
      <c r="F267" t="inlineStr">
        <is>
          <t>ÖSTERGÖTLANDS LÄN</t>
        </is>
      </c>
      <c r="G267" t="inlineStr">
        <is>
          <t>SÖDERKÖPING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46268</v>
      </c>
      <c r="F268" t="inlineStr">
        <is>
          <t>ÖSTERGÖTLANDS LÄN</t>
        </is>
      </c>
      <c r="G268" t="inlineStr">
        <is>
          <t>SÖDERKÖPING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46227</v>
      </c>
      <c r="E269" s="1" t="n">
        <v>46268</v>
      </c>
      <c r="F269" t="inlineStr">
        <is>
          <t>ÖSTERGÖTLANDS LÄN</t>
        </is>
      </c>
      <c r="G269" t="inlineStr">
        <is>
          <t>SÖDERKÖPING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46227</v>
      </c>
      <c r="E270" s="1" t="n">
        <v>46268</v>
      </c>
      <c r="F270" t="inlineStr">
        <is>
          <t>ÖSTERGÖTLANDS LÄN</t>
        </is>
      </c>
      <c r="G270" t="inlineStr">
        <is>
          <t>SÖDERKÖPING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53889-2021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44469</v>
      </c>
      <c r="E271" s="1" t="n">
        <v>46268</v>
      </c>
      <c r="F271" t="inlineStr">
        <is>
          <t>ÖSTERGÖTLANDS LÄN</t>
        </is>
      </c>
      <c r="G271" t="inlineStr">
        <is>
          <t>SÖDERKÖPING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46268</v>
      </c>
      <c r="F272" t="inlineStr">
        <is>
          <t>ÖSTERGÖTLANDS LÄN</t>
        </is>
      </c>
      <c r="G272" t="inlineStr">
        <is>
          <t>SÖDERKÖPING</t>
        </is>
      </c>
      <c r="H272" t="inlineStr">
        <is>
          <t>Holmen skog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31794-2026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46227</v>
      </c>
      <c r="E273" s="1" t="n">
        <v>46268</v>
      </c>
      <c r="F273" t="inlineStr">
        <is>
          <t>ÖSTERGÖTLANDS LÄN</t>
        </is>
      </c>
      <c r="G273" t="inlineStr">
        <is>
          <t>SÖDERKÖPING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22471-2026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46155</v>
      </c>
      <c r="E274" s="1" t="n">
        <v>46268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Kommuner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45614</v>
      </c>
      <c r="E275" s="1" t="n">
        <v>46268</v>
      </c>
      <c r="F275" t="inlineStr">
        <is>
          <t>ÖSTERGÖTLANDS LÄN</t>
        </is>
      </c>
      <c r="G275" t="inlineStr">
        <is>
          <t>SÖDERKÖPING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46268</v>
      </c>
      <c r="F276" t="inlineStr">
        <is>
          <t>ÖSTERGÖTLANDS LÄN</t>
        </is>
      </c>
      <c r="G276" t="inlineStr">
        <is>
          <t>SÖDERKÖPING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28383-2026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46196</v>
      </c>
      <c r="E277" s="1" t="n">
        <v>46268</v>
      </c>
      <c r="F277" t="inlineStr">
        <is>
          <t>ÖSTERGÖTLANDS LÄN</t>
        </is>
      </c>
      <c r="G277" t="inlineStr">
        <is>
          <t>SÖDERKÖPING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46268</v>
      </c>
      <c r="F278" t="inlineStr">
        <is>
          <t>ÖSTERGÖTLANDS LÄN</t>
        </is>
      </c>
      <c r="G278" t="inlineStr">
        <is>
          <t>SÖDERKÖPING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46268</v>
      </c>
      <c r="F279" t="inlineStr">
        <is>
          <t>ÖSTERGÖTLANDS LÄN</t>
        </is>
      </c>
      <c r="G279" t="inlineStr">
        <is>
          <t>SÖDERKÖPING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45295</v>
      </c>
      <c r="E280" s="1" t="n">
        <v>46268</v>
      </c>
      <c r="F280" t="inlineStr">
        <is>
          <t>ÖSTERGÖTLANDS LÄN</t>
        </is>
      </c>
      <c r="G280" t="inlineStr">
        <is>
          <t>SÖDERKÖPING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44966</v>
      </c>
      <c r="E281" s="1" t="n">
        <v>46268</v>
      </c>
      <c r="F281" t="inlineStr">
        <is>
          <t>ÖSTERGÖTLANDS LÄN</t>
        </is>
      </c>
      <c r="G281" t="inlineStr">
        <is>
          <t>SÖDERKÖPING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45061</v>
      </c>
      <c r="E282" s="1" t="n">
        <v>46268</v>
      </c>
      <c r="F282" t="inlineStr">
        <is>
          <t>ÖSTERGÖTLANDS LÄN</t>
        </is>
      </c>
      <c r="G282" t="inlineStr">
        <is>
          <t>SÖDERKÖPING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45684</v>
      </c>
      <c r="E283" s="1" t="n">
        <v>46268</v>
      </c>
      <c r="F283" t="inlineStr">
        <is>
          <t>ÖSTERGÖTLANDS LÄN</t>
        </is>
      </c>
      <c r="G283" t="inlineStr">
        <is>
          <t>SÖDERKÖPING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46241</v>
      </c>
      <c r="E284" s="1" t="n">
        <v>46268</v>
      </c>
      <c r="F284" t="inlineStr">
        <is>
          <t>ÖSTERGÖTLANDS LÄN</t>
        </is>
      </c>
      <c r="G284" t="inlineStr">
        <is>
          <t>SÖDERKÖPING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50040-2023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46268</v>
      </c>
      <c r="F285" t="inlineStr">
        <is>
          <t>ÖSTERGÖTLANDS LÄN</t>
        </is>
      </c>
      <c r="G285" t="inlineStr">
        <is>
          <t>SÖDERKÖPING</t>
        </is>
      </c>
      <c r="H285" t="inlineStr">
        <is>
          <t>Kyrkan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32817-2026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46241</v>
      </c>
      <c r="E286" s="1" t="n">
        <v>46268</v>
      </c>
      <c r="F286" t="inlineStr">
        <is>
          <t>ÖSTERGÖTLANDS LÄN</t>
        </is>
      </c>
      <c r="G286" t="inlineStr">
        <is>
          <t>SÖDERKÖPING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45295</v>
      </c>
      <c r="E287" s="1" t="n">
        <v>46268</v>
      </c>
      <c r="F287" t="inlineStr">
        <is>
          <t>ÖSTERGÖTLANDS LÄN</t>
        </is>
      </c>
      <c r="G287" t="inlineStr">
        <is>
          <t>SÖDERKÖPING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45489</v>
      </c>
      <c r="E288" s="1" t="n">
        <v>46268</v>
      </c>
      <c r="F288" t="inlineStr">
        <is>
          <t>ÖSTERGÖTLANDS LÄN</t>
        </is>
      </c>
      <c r="G288" t="inlineStr">
        <is>
          <t>SÖDERKÖPING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56213-2022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44890</v>
      </c>
      <c r="E289" s="1" t="n">
        <v>46268</v>
      </c>
      <c r="F289" t="inlineStr">
        <is>
          <t>ÖSTERGÖTLANDS LÄN</t>
        </is>
      </c>
      <c r="G289" t="inlineStr">
        <is>
          <t>SÖDERKÖPING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45239</v>
      </c>
      <c r="E290" s="1" t="n">
        <v>46268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Holmen skog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45055</v>
      </c>
      <c r="E291" s="1" t="n">
        <v>46268</v>
      </c>
      <c r="F291" t="inlineStr">
        <is>
          <t>ÖSTERGÖTLANDS LÄN</t>
        </is>
      </c>
      <c r="G291" t="inlineStr">
        <is>
          <t>SÖDERKÖPING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45055</v>
      </c>
      <c r="E292" s="1" t="n">
        <v>46268</v>
      </c>
      <c r="F292" t="inlineStr">
        <is>
          <t>ÖSTERGÖTLANDS LÄN</t>
        </is>
      </c>
      <c r="G292" t="inlineStr">
        <is>
          <t>SÖDERKÖPING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45169</v>
      </c>
      <c r="E293" s="1" t="n">
        <v>46268</v>
      </c>
      <c r="F293" t="inlineStr">
        <is>
          <t>ÖSTERGÖTLANDS LÄN</t>
        </is>
      </c>
      <c r="G293" t="inlineStr">
        <is>
          <t>SÖDERKÖPING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45692</v>
      </c>
      <c r="E294" s="1" t="n">
        <v>46268</v>
      </c>
      <c r="F294" t="inlineStr">
        <is>
          <t>ÖSTERGÖTLANDS LÄN</t>
        </is>
      </c>
      <c r="G294" t="inlineStr">
        <is>
          <t>SÖDERKÖPING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30247-2026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46268</v>
      </c>
      <c r="F295" t="inlineStr">
        <is>
          <t>ÖSTERGÖTLANDS LÄN</t>
        </is>
      </c>
      <c r="G295" t="inlineStr">
        <is>
          <t>SÖDERKÖPING</t>
        </is>
      </c>
      <c r="I295" t="n">
        <v>18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33649-2026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46248</v>
      </c>
      <c r="E296" s="1" t="n">
        <v>46268</v>
      </c>
      <c r="F296" t="inlineStr">
        <is>
          <t>ÖSTERGÖTLANDS LÄN</t>
        </is>
      </c>
      <c r="G296" t="inlineStr">
        <is>
          <t>SÖDERKÖPING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46268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42673-2023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45181</v>
      </c>
      <c r="E298" s="1" t="n">
        <v>46268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45586</v>
      </c>
      <c r="E299" s="1" t="n">
        <v>46268</v>
      </c>
      <c r="F299" t="inlineStr">
        <is>
          <t>ÖSTERGÖTLANDS LÄN</t>
        </is>
      </c>
      <c r="G299" t="inlineStr">
        <is>
          <t>SÖDERKÖPING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11673-2023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46268</v>
      </c>
      <c r="F300" t="inlineStr">
        <is>
          <t>ÖSTERGÖTLANDS LÄN</t>
        </is>
      </c>
      <c r="G300" t="inlineStr">
        <is>
          <t>SÖDERKÖPING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46268</v>
      </c>
      <c r="F301" t="inlineStr">
        <is>
          <t>ÖSTERGÖTLANDS LÄN</t>
        </is>
      </c>
      <c r="G301" t="inlineStr">
        <is>
          <t>SÖDERKÖPING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35032-2026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46259</v>
      </c>
      <c r="E302" s="1" t="n">
        <v>46268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Allmännings- och besparingsskogar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46259</v>
      </c>
      <c r="E303" s="1" t="n">
        <v>46268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Allmännings- och besparingsskogar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45737</v>
      </c>
      <c r="E304" s="1" t="n">
        <v>46268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Holmen skog AB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45174</v>
      </c>
      <c r="E305" s="1" t="n">
        <v>46268</v>
      </c>
      <c r="F305" t="inlineStr">
        <is>
          <t>ÖSTERGÖTLANDS LÄN</t>
        </is>
      </c>
      <c r="G305" t="inlineStr">
        <is>
          <t>SÖDERKÖPING</t>
        </is>
      </c>
      <c r="I305" t="n">
        <v>15.3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46268</v>
      </c>
      <c r="F306" t="inlineStr">
        <is>
          <t>ÖSTERGÖTLANDS LÄN</t>
        </is>
      </c>
      <c r="G306" t="inlineStr">
        <is>
          <t>SÖDERKÖPING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46268</v>
      </c>
      <c r="F307" t="inlineStr">
        <is>
          <t>ÖSTERGÖTLANDS LÄN</t>
        </is>
      </c>
      <c r="G307" t="inlineStr">
        <is>
          <t>SÖDERKÖPING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44593</v>
      </c>
      <c r="E308" s="1" t="n">
        <v>46268</v>
      </c>
      <c r="F308" t="inlineStr">
        <is>
          <t>ÖSTERGÖTLANDS LÄN</t>
        </is>
      </c>
      <c r="G308" t="inlineStr">
        <is>
          <t>SÖDERKÖPING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46258</v>
      </c>
      <c r="E309" s="1" t="n">
        <v>46268</v>
      </c>
      <c r="F309" t="inlineStr">
        <is>
          <t>ÖSTERGÖTLANDS LÄN</t>
        </is>
      </c>
      <c r="G309" t="inlineStr">
        <is>
          <t>SÖDERKÖPING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46268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44753</v>
      </c>
      <c r="E311" s="1" t="n">
        <v>46268</v>
      </c>
      <c r="F311" t="inlineStr">
        <is>
          <t>ÖSTERGÖTLANDS LÄN</t>
        </is>
      </c>
      <c r="G311" t="inlineStr">
        <is>
          <t>SÖDERKÖPING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46171</v>
      </c>
      <c r="E312" s="1" t="n">
        <v>46268</v>
      </c>
      <c r="F312" t="inlineStr">
        <is>
          <t>ÖSTERGÖTLANDS LÄN</t>
        </is>
      </c>
      <c r="G312" t="inlineStr">
        <is>
          <t>SÖDERKÖPING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45595</v>
      </c>
      <c r="E313" s="1" t="n">
        <v>46268</v>
      </c>
      <c r="F313" t="inlineStr">
        <is>
          <t>ÖSTERGÖTLANDS LÄN</t>
        </is>
      </c>
      <c r="G313" t="inlineStr">
        <is>
          <t>SÖDERKÖPING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46219</v>
      </c>
      <c r="E314" s="1" t="n">
        <v>46268</v>
      </c>
      <c r="F314" t="inlineStr">
        <is>
          <t>ÖSTERGÖTLANDS LÄN</t>
        </is>
      </c>
      <c r="G314" t="inlineStr">
        <is>
          <t>SÖDERKÖPING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41245-2023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45174</v>
      </c>
      <c r="E315" s="1" t="n">
        <v>46268</v>
      </c>
      <c r="F315" t="inlineStr">
        <is>
          <t>ÖSTERGÖTLANDS LÄN</t>
        </is>
      </c>
      <c r="G315" t="inlineStr">
        <is>
          <t>SÖDERKÖPING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45297</v>
      </c>
      <c r="E316" s="1" t="n">
        <v>46268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45379</v>
      </c>
      <c r="E317" s="1" t="n">
        <v>46268</v>
      </c>
      <c r="F317" t="inlineStr">
        <is>
          <t>ÖSTERGÖTLANDS LÄN</t>
        </is>
      </c>
      <c r="G317" t="inlineStr">
        <is>
          <t>SÖDERKÖPING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27598-2023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45097</v>
      </c>
      <c r="E318" s="1" t="n">
        <v>46268</v>
      </c>
      <c r="F318" t="inlineStr">
        <is>
          <t>ÖSTERGÖTLANDS LÄN</t>
        </is>
      </c>
      <c r="G318" t="inlineStr">
        <is>
          <t>SÖDERKÖPING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44888</v>
      </c>
      <c r="E319" s="1" t="n">
        <v>46268</v>
      </c>
      <c r="F319" t="inlineStr">
        <is>
          <t>ÖSTERGÖTLANDS LÄN</t>
        </is>
      </c>
      <c r="G319" t="inlineStr">
        <is>
          <t>SÖDERKÖPING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46268</v>
      </c>
      <c r="F320" t="inlineStr">
        <is>
          <t>ÖSTERGÖTLANDS LÄN</t>
        </is>
      </c>
      <c r="G320" t="inlineStr">
        <is>
          <t>SÖDERKÖPING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46219</v>
      </c>
      <c r="E321" s="1" t="n">
        <v>46268</v>
      </c>
      <c r="F321" t="inlineStr">
        <is>
          <t>ÖSTERGÖTLANDS LÄN</t>
        </is>
      </c>
      <c r="G321" t="inlineStr">
        <is>
          <t>SÖDERKÖPING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45180</v>
      </c>
      <c r="E322" s="1" t="n">
        <v>46268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Allmännings- och besparingsskogar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45687</v>
      </c>
      <c r="E323" s="1" t="n">
        <v>46268</v>
      </c>
      <c r="F323" t="inlineStr">
        <is>
          <t>ÖSTERGÖTLANDS LÄN</t>
        </is>
      </c>
      <c r="G323" t="inlineStr">
        <is>
          <t>SÖDERKÖPING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45707</v>
      </c>
      <c r="E324" s="1" t="n">
        <v>46268</v>
      </c>
      <c r="F324" t="inlineStr">
        <is>
          <t>ÖSTERGÖTLANDS LÄN</t>
        </is>
      </c>
      <c r="G324" t="inlineStr">
        <is>
          <t>SÖDERKÖPING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46417-2023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45197</v>
      </c>
      <c r="E325" s="1" t="n">
        <v>46268</v>
      </c>
      <c r="F325" t="inlineStr">
        <is>
          <t>ÖSTERGÖTLANDS LÄN</t>
        </is>
      </c>
      <c r="G325" t="inlineStr">
        <is>
          <t>SÖDERKÖPING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45055</v>
      </c>
      <c r="E326" s="1" t="n">
        <v>46268</v>
      </c>
      <c r="F326" t="inlineStr">
        <is>
          <t>ÖSTERGÖTLANDS LÄN</t>
        </is>
      </c>
      <c r="G326" t="inlineStr">
        <is>
          <t>SÖDERKÖPING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45297</v>
      </c>
      <c r="E327" s="1" t="n">
        <v>46268</v>
      </c>
      <c r="F327" t="inlineStr">
        <is>
          <t>ÖSTERGÖTLANDS LÄN</t>
        </is>
      </c>
      <c r="G327" t="inlineStr">
        <is>
          <t>SÖDERKÖPING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46268</v>
      </c>
      <c r="F328" t="inlineStr">
        <is>
          <t>ÖSTERGÖTLANDS LÄN</t>
        </is>
      </c>
      <c r="G328" t="inlineStr">
        <is>
          <t>SÖDERKÖPING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45737</v>
      </c>
      <c r="E329" s="1" t="n">
        <v>46268</v>
      </c>
      <c r="F329" t="inlineStr">
        <is>
          <t>ÖSTERGÖTLANDS LÄN</t>
        </is>
      </c>
      <c r="G329" t="inlineStr">
        <is>
          <t>SÖDERKÖPING</t>
        </is>
      </c>
      <c r="H329" t="inlineStr">
        <is>
          <t>Holmen skog AB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46268</v>
      </c>
      <c r="F330" t="inlineStr">
        <is>
          <t>ÖSTERGÖTLANDS LÄN</t>
        </is>
      </c>
      <c r="G330" t="inlineStr">
        <is>
          <t>SÖDERKÖPING</t>
        </is>
      </c>
      <c r="H330" t="inlineStr">
        <is>
          <t>Holmen skog AB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6615-2025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46268</v>
      </c>
      <c r="F331" t="inlineStr">
        <is>
          <t>ÖSTERGÖTLANDS LÄN</t>
        </is>
      </c>
      <c r="G331" t="inlineStr">
        <is>
          <t>SÖDERKÖPING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44984</v>
      </c>
      <c r="E332" s="1" t="n">
        <v>46268</v>
      </c>
      <c r="F332" t="inlineStr">
        <is>
          <t>ÖSTERGÖTLANDS LÄN</t>
        </is>
      </c>
      <c r="G332" t="inlineStr">
        <is>
          <t>SÖDERKÖPING</t>
        </is>
      </c>
      <c r="I332" t="n">
        <v>13.8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51746-2023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46268</v>
      </c>
      <c r="F333" t="inlineStr">
        <is>
          <t>ÖSTERGÖTLANDS LÄN</t>
        </is>
      </c>
      <c r="G333" t="inlineStr">
        <is>
          <t>SÖDERKÖPING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31315-2024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45504</v>
      </c>
      <c r="E334" s="1" t="n">
        <v>46268</v>
      </c>
      <c r="F334" t="inlineStr">
        <is>
          <t>ÖSTERGÖTLANDS LÄN</t>
        </is>
      </c>
      <c r="G334" t="inlineStr">
        <is>
          <t>SÖDERKÖPING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31312-2024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45504</v>
      </c>
      <c r="E335" s="1" t="n">
        <v>46268</v>
      </c>
      <c r="F335" t="inlineStr">
        <is>
          <t>ÖSTERGÖTLANDS LÄN</t>
        </is>
      </c>
      <c r="G335" t="inlineStr">
        <is>
          <t>SÖDERKÖPING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45435</v>
      </c>
      <c r="E336" s="1" t="n">
        <v>46268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45601</v>
      </c>
      <c r="E337" s="1" t="n">
        <v>46268</v>
      </c>
      <c r="F337" t="inlineStr">
        <is>
          <t>ÖSTERGÖTLANDS LÄN</t>
        </is>
      </c>
      <c r="G337" t="inlineStr">
        <is>
          <t>SÖDERKÖPING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46268</v>
      </c>
      <c r="F338" t="inlineStr">
        <is>
          <t>ÖSTERGÖTLANDS LÄN</t>
        </is>
      </c>
      <c r="G338" t="inlineStr">
        <is>
          <t>SÖDERKÖPING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45504</v>
      </c>
      <c r="E339" s="1" t="n">
        <v>46268</v>
      </c>
      <c r="F339" t="inlineStr">
        <is>
          <t>ÖSTERGÖTLANDS LÄN</t>
        </is>
      </c>
      <c r="G339" t="inlineStr">
        <is>
          <t>SÖDERKÖPING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45504</v>
      </c>
      <c r="E340" s="1" t="n">
        <v>46268</v>
      </c>
      <c r="F340" t="inlineStr">
        <is>
          <t>ÖSTERGÖTLANDS LÄN</t>
        </is>
      </c>
      <c r="G340" t="inlineStr">
        <is>
          <t>SÖDERKÖPING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43495-2023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45184</v>
      </c>
      <c r="E341" s="1" t="n">
        <v>46268</v>
      </c>
      <c r="F341" t="inlineStr">
        <is>
          <t>ÖSTERGÖTLANDS LÄN</t>
        </is>
      </c>
      <c r="G341" t="inlineStr">
        <is>
          <t>SÖDERKÖPING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46268</v>
      </c>
      <c r="F342" t="inlineStr">
        <is>
          <t>ÖSTERGÖTLANDS LÄN</t>
        </is>
      </c>
      <c r="G342" t="inlineStr">
        <is>
          <t>SÖDERKÖPING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45792</v>
      </c>
      <c r="E343" s="1" t="n">
        <v>46268</v>
      </c>
      <c r="F343" t="inlineStr">
        <is>
          <t>ÖSTERGÖTLANDS LÄN</t>
        </is>
      </c>
      <c r="G343" t="inlineStr">
        <is>
          <t>SÖDERKÖPING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59885-2023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45257</v>
      </c>
      <c r="E344" s="1" t="n">
        <v>46268</v>
      </c>
      <c r="F344" t="inlineStr">
        <is>
          <t>ÖSTERGÖTLANDS LÄN</t>
        </is>
      </c>
      <c r="G344" t="inlineStr">
        <is>
          <t>SÖDERKÖPING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45797</v>
      </c>
      <c r="E345" s="1" t="n">
        <v>46268</v>
      </c>
      <c r="F345" t="inlineStr">
        <is>
          <t>ÖSTERGÖTLANDS LÄN</t>
        </is>
      </c>
      <c r="G345" t="inlineStr">
        <is>
          <t>SÖDERKÖPING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45797</v>
      </c>
      <c r="E346" s="1" t="n">
        <v>46268</v>
      </c>
      <c r="F346" t="inlineStr">
        <is>
          <t>ÖSTERGÖTLANDS LÄN</t>
        </is>
      </c>
      <c r="G346" t="inlineStr">
        <is>
          <t>SÖDERKÖPING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46268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46268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46268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46268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46268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46268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2026-09-03T02:08:40Z</dcterms:created>
  <dcterms:modified xmlns:dcterms="http://purl.org/dc/terms/" xmlns:xsi="http://www.w3.org/2001/XMLSchema-instance" xsi:type="dcterms:W3CDTF">2026-09-03T02:08:40Z</dcterms:modified>
</cp:coreProperties>
</file>