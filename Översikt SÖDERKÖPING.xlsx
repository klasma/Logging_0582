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46309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46309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46309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46309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46309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46309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46309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46309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46309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46309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46309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46309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46309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46309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46309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46309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46309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46309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46309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46309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46309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22512-2024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46309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Kommuner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Skogsstjärna</t>
        </is>
      </c>
      <c r="W28">
        <f>HYPERLINK("https://klasma.github.io/Logging_0582/artfynd/A 22512-2024 artfynd.xlsx", "A 22512-2024")</f>
        <v/>
      </c>
      <c r="X28">
        <f>HYPERLINK("https://klasma.github.io/Logging_0582/kartor/A 22512-2024 karta.png", "A 22512-2024")</f>
        <v/>
      </c>
      <c r="Y28">
        <f>HYPERLINK("https://klasma.github.io/Logging_0582/kartor_geotiff/A 22512-2024 georefererad karta.tif", "A 22512-2024")</f>
        <v/>
      </c>
      <c r="AA28">
        <f>HYPERLINK("https://klasma.github.io/Logging_0582/klagomål/A 22512-2024 FSC-klagomål.docx", "A 22512-2024")</f>
        <v/>
      </c>
      <c r="AB28">
        <f>HYPERLINK("https://klasma.github.io/Logging_0582/klagomålsmail/A 22512-2024 FSC-klagomål mail.docx", "A 22512-2024")</f>
        <v/>
      </c>
      <c r="AC28">
        <f>HYPERLINK("https://klasma.github.io/Logging_0582/tillsyn/A 22512-2024 tillsynsbegäran.docx", "A 22512-2024")</f>
        <v/>
      </c>
      <c r="AD28">
        <f>HYPERLINK("https://klasma.github.io/Logging_0582/tillsynsmail/A 22512-2024 tillsynsbegäran mail.docx", "A 22512-2024")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46309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46309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38709-2026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46283</v>
      </c>
      <c r="E31" s="1" t="n">
        <v>46309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Allmännings- och besparingsskogar</t>
        </is>
      </c>
      <c r="I31" t="n">
        <v>9.5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HYPERLINK("https://klasma.github.io/Logging_0582/artfynd/A 38709-2026 artfynd.xlsx", "A 38709-2026")</f>
        <v/>
      </c>
      <c r="X31">
        <f>HYPERLINK("https://klasma.github.io/Logging_0582/kartor/A 38709-2026 karta.png", "A 38709-2026")</f>
        <v/>
      </c>
      <c r="Y31">
        <f>HYPERLINK("https://klasma.github.io/Logging_0582/kartor_geotiff/A 38709-2026 georefererad karta.tif", "A 38709-2026")</f>
        <v/>
      </c>
      <c r="AA31">
        <f>HYPERLINK("https://klasma.github.io/Logging_0582/klagomål/A 38709-2026 FSC-klagomål.docx", "A 38709-2026")</f>
        <v/>
      </c>
      <c r="AB31">
        <f>HYPERLINK("https://klasma.github.io/Logging_0582/klagomålsmail/A 38709-2026 FSC-klagomål mail.docx", "A 38709-2026")</f>
        <v/>
      </c>
      <c r="AC31">
        <f>HYPERLINK("https://klasma.github.io/Logging_0582/tillsyn/A 38709-2026 tillsynsbegäran.docx", "A 38709-2026")</f>
        <v/>
      </c>
      <c r="AD31">
        <f>HYPERLINK("https://klasma.github.io/Logging_0582/tillsynsmail/A 38709-2026 tillsynsbegäran mail.docx", "A 38709-2026")</f>
        <v/>
      </c>
    </row>
    <row r="32" ht="15" customHeight="1">
      <c r="A32" t="inlineStr">
        <is>
          <t>A 28549-2024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46309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Vippärt</t>
        </is>
      </c>
      <c r="W32">
        <f>HYPERLINK("https://klasma.github.io/Logging_0582/artfynd/A 28549-2024 artfynd.xlsx", "A 28549-2024")</f>
        <v/>
      </c>
      <c r="X32">
        <f>HYPERLINK("https://klasma.github.io/Logging_0582/kartor/A 28549-2024 karta.png", "A 28549-2024")</f>
        <v/>
      </c>
      <c r="Y32">
        <f>HYPERLINK("https://klasma.github.io/Logging_0582/kartor_geotiff/A 28549-2024 georefererad karta.tif", "A 28549-2024")</f>
        <v/>
      </c>
      <c r="AA32">
        <f>HYPERLINK("https://klasma.github.io/Logging_0582/klagomål/A 28549-2024 FSC-klagomål.docx", "A 28549-2024")</f>
        <v/>
      </c>
      <c r="AB32">
        <f>HYPERLINK("https://klasma.github.io/Logging_0582/klagomålsmail/A 28549-2024 FSC-klagomål mail.docx", "A 28549-2024")</f>
        <v/>
      </c>
      <c r="AC32">
        <f>HYPERLINK("https://klasma.github.io/Logging_0582/tillsyn/A 28549-2024 tillsynsbegäran.docx", "A 28549-2024")</f>
        <v/>
      </c>
      <c r="AD32">
        <f>HYPERLINK("https://klasma.github.io/Logging_0582/tillsynsmail/A 28549-2024 tillsynsbegäran mail.docx", "A 28549-2024")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46309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46309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46309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46309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46309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46309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46309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46309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46309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46309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46309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46309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46309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46309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46309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46309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46309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46309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46309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46309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46309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46309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46309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46309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53777-2023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45231</v>
      </c>
      <c r="E57" s="1" t="n">
        <v>46309</v>
      </c>
      <c r="F57" t="inlineStr">
        <is>
          <t>ÖSTERGÖTLANDS LÄN</t>
        </is>
      </c>
      <c r="G57" t="inlineStr">
        <is>
          <t>SÖDERKÖPING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46309</v>
      </c>
      <c r="F58" t="inlineStr">
        <is>
          <t>ÖSTERGÖTLANDS LÄN</t>
        </is>
      </c>
      <c r="G58" t="inlineStr">
        <is>
          <t>SÖDERKÖPING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46309</v>
      </c>
      <c r="F59" t="inlineStr">
        <is>
          <t>ÖSTERGÖTLANDS LÄN</t>
        </is>
      </c>
      <c r="G59" t="inlineStr">
        <is>
          <t>SÖDERKÖPING</t>
        </is>
      </c>
      <c r="H59" t="inlineStr">
        <is>
          <t>Holmen skog AB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45297</v>
      </c>
      <c r="E60" s="1" t="n">
        <v>46309</v>
      </c>
      <c r="F60" t="inlineStr">
        <is>
          <t>ÖSTERGÖTLANDS LÄN</t>
        </is>
      </c>
      <c r="G60" t="inlineStr">
        <is>
          <t>SÖDERKÖPING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45215</v>
      </c>
      <c r="E61" s="1" t="n">
        <v>46309</v>
      </c>
      <c r="F61" t="inlineStr">
        <is>
          <t>ÖSTERGÖTLANDS LÄN</t>
        </is>
      </c>
      <c r="G61" t="inlineStr">
        <is>
          <t>SÖDERKÖPING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45106</v>
      </c>
      <c r="E62" s="1" t="n">
        <v>46309</v>
      </c>
      <c r="F62" t="inlineStr">
        <is>
          <t>ÖSTERGÖTLANDS LÄN</t>
        </is>
      </c>
      <c r="G62" t="inlineStr">
        <is>
          <t>SÖDERKÖPING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46309</v>
      </c>
      <c r="F63" t="inlineStr">
        <is>
          <t>ÖSTERGÖTLANDS LÄN</t>
        </is>
      </c>
      <c r="G63" t="inlineStr">
        <is>
          <t>SÖDERKÖPING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33726-2023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45119</v>
      </c>
      <c r="E64" s="1" t="n">
        <v>46309</v>
      </c>
      <c r="F64" t="inlineStr">
        <is>
          <t>ÖSTERGÖTLANDS LÄN</t>
        </is>
      </c>
      <c r="G64" t="inlineStr">
        <is>
          <t>SÖDERKÖPING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23451-2025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46309</v>
      </c>
      <c r="F65" t="inlineStr">
        <is>
          <t>ÖSTERGÖTLANDS LÄN</t>
        </is>
      </c>
      <c r="G65" t="inlineStr">
        <is>
          <t>SÖDERKÖPING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45489</v>
      </c>
      <c r="E66" s="1" t="n">
        <v>46309</v>
      </c>
      <c r="F66" t="inlineStr">
        <is>
          <t>ÖSTERGÖTLANDS LÄN</t>
        </is>
      </c>
      <c r="G66" t="inlineStr">
        <is>
          <t>SÖDERKÖPING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46309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Allmännings- och besparingsskogar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46309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Allmännings- och besparingsskogar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45257</v>
      </c>
      <c r="E69" s="1" t="n">
        <v>46309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45884</v>
      </c>
      <c r="E70" s="1" t="n">
        <v>46309</v>
      </c>
      <c r="F70" t="inlineStr">
        <is>
          <t>ÖSTERGÖTLANDS LÄN</t>
        </is>
      </c>
      <c r="G70" t="inlineStr">
        <is>
          <t>SÖDERKÖPING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45797</v>
      </c>
      <c r="E71" s="1" t="n">
        <v>46309</v>
      </c>
      <c r="F71" t="inlineStr">
        <is>
          <t>ÖSTERGÖTLANDS LÄN</t>
        </is>
      </c>
      <c r="G71" t="inlineStr">
        <is>
          <t>SÖDERKÖPING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45797</v>
      </c>
      <c r="E72" s="1" t="n">
        <v>46309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46309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45685</v>
      </c>
      <c r="E74" s="1" t="n">
        <v>46309</v>
      </c>
      <c r="F74" t="inlineStr">
        <is>
          <t>ÖSTERGÖTLANDS LÄN</t>
        </is>
      </c>
      <c r="G74" t="inlineStr">
        <is>
          <t>SÖDERKÖPING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46309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46309</v>
      </c>
      <c r="F76" t="inlineStr">
        <is>
          <t>ÖSTERGÖTLANDS LÄN</t>
        </is>
      </c>
      <c r="G76" t="inlineStr">
        <is>
          <t>SÖDERKÖPING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46309</v>
      </c>
      <c r="F77" t="inlineStr">
        <is>
          <t>ÖSTERGÖTLANDS LÄN</t>
        </is>
      </c>
      <c r="G77" t="inlineStr">
        <is>
          <t>SÖDERKÖPING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39854-2025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45891</v>
      </c>
      <c r="E78" s="1" t="n">
        <v>46309</v>
      </c>
      <c r="F78" t="inlineStr">
        <is>
          <t>ÖSTERGÖTLANDS LÄN</t>
        </is>
      </c>
      <c r="G78" t="inlineStr">
        <is>
          <t>SÖDERKÖPING</t>
        </is>
      </c>
      <c r="I78" t="n">
        <v>26.6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46309</v>
      </c>
      <c r="F79" t="inlineStr">
        <is>
          <t>ÖSTERGÖTLANDS LÄN</t>
        </is>
      </c>
      <c r="G79" t="inlineStr">
        <is>
          <t>SÖDERKÖPING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46309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46309</v>
      </c>
      <c r="F81" t="inlineStr">
        <is>
          <t>ÖSTERGÖTLANDS LÄN</t>
        </is>
      </c>
      <c r="G81" t="inlineStr">
        <is>
          <t>SÖDERKÖPING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46309</v>
      </c>
      <c r="F82" t="inlineStr">
        <is>
          <t>ÖSTERGÖTLANDS LÄN</t>
        </is>
      </c>
      <c r="G82" t="inlineStr">
        <is>
          <t>SÖDERKÖPING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46309</v>
      </c>
      <c r="F83" t="inlineStr">
        <is>
          <t>ÖSTERGÖTLANDS LÄN</t>
        </is>
      </c>
      <c r="G83" t="inlineStr">
        <is>
          <t>SÖDERKÖPING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46309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45818</v>
      </c>
      <c r="E85" s="1" t="n">
        <v>46309</v>
      </c>
      <c r="F85" t="inlineStr">
        <is>
          <t>ÖSTERGÖTLANDS LÄN</t>
        </is>
      </c>
      <c r="G85" t="inlineStr">
        <is>
          <t>SÖDERKÖPING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45742</v>
      </c>
      <c r="E86" s="1" t="n">
        <v>46309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46309</v>
      </c>
      <c r="F87" t="inlineStr">
        <is>
          <t>ÖSTERGÖTLANDS LÄN</t>
        </is>
      </c>
      <c r="G87" t="inlineStr">
        <is>
          <t>SÖDERKÖPING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45923</v>
      </c>
      <c r="E88" s="1" t="n">
        <v>46309</v>
      </c>
      <c r="F88" t="inlineStr">
        <is>
          <t>ÖSTERGÖTLANDS LÄN</t>
        </is>
      </c>
      <c r="G88" t="inlineStr">
        <is>
          <t>SÖDERKÖPING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45923</v>
      </c>
      <c r="E89" s="1" t="n">
        <v>46309</v>
      </c>
      <c r="F89" t="inlineStr">
        <is>
          <t>ÖSTERGÖTLANDS LÄN</t>
        </is>
      </c>
      <c r="G89" t="inlineStr">
        <is>
          <t>SÖDERKÖPING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46309</v>
      </c>
      <c r="F90" t="inlineStr">
        <is>
          <t>ÖSTERGÖTLANDS LÄN</t>
        </is>
      </c>
      <c r="G90" t="inlineStr">
        <is>
          <t>SÖDERKÖPING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46309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46309</v>
      </c>
      <c r="F92" t="inlineStr">
        <is>
          <t>ÖSTERGÖTLANDS LÄN</t>
        </is>
      </c>
      <c r="G92" t="inlineStr">
        <is>
          <t>SÖDERKÖPING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46309</v>
      </c>
      <c r="F93" t="inlineStr">
        <is>
          <t>ÖSTERGÖTLANDS LÄN</t>
        </is>
      </c>
      <c r="G93" t="inlineStr">
        <is>
          <t>SÖDERKÖPING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46309</v>
      </c>
      <c r="F94" t="inlineStr">
        <is>
          <t>ÖSTERGÖTLANDS LÄN</t>
        </is>
      </c>
      <c r="G94" t="inlineStr">
        <is>
          <t>SÖDERKÖPING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46309</v>
      </c>
      <c r="F95" t="inlineStr">
        <is>
          <t>ÖSTERGÖTLANDS LÄN</t>
        </is>
      </c>
      <c r="G95" t="inlineStr">
        <is>
          <t>SÖDERKÖPING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46309</v>
      </c>
      <c r="F96" t="inlineStr">
        <is>
          <t>ÖSTERGÖTLANDS LÄN</t>
        </is>
      </c>
      <c r="G96" t="inlineStr">
        <is>
          <t>SÖDERKÖPING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45546</v>
      </c>
      <c r="E97" s="1" t="n">
        <v>46309</v>
      </c>
      <c r="F97" t="inlineStr">
        <is>
          <t>ÖSTERGÖTLANDS LÄN</t>
        </is>
      </c>
      <c r="G97" t="inlineStr">
        <is>
          <t>SÖDERKÖPING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46309</v>
      </c>
      <c r="F98" t="inlineStr">
        <is>
          <t>ÖSTERGÖTLANDS LÄN</t>
        </is>
      </c>
      <c r="G98" t="inlineStr">
        <is>
          <t>SÖDERKÖPING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46309</v>
      </c>
      <c r="F99" t="inlineStr">
        <is>
          <t>ÖSTERGÖTLANDS LÄN</t>
        </is>
      </c>
      <c r="G99" t="inlineStr">
        <is>
          <t>SÖDERKÖPING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45849</v>
      </c>
      <c r="E100" s="1" t="n">
        <v>46309</v>
      </c>
      <c r="F100" t="inlineStr">
        <is>
          <t>ÖSTERGÖTLANDS LÄN</t>
        </is>
      </c>
      <c r="G100" t="inlineStr">
        <is>
          <t>SÖDERKÖPING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45849</v>
      </c>
      <c r="E101" s="1" t="n">
        <v>46309</v>
      </c>
      <c r="F101" t="inlineStr">
        <is>
          <t>ÖSTERGÖTLANDS LÄN</t>
        </is>
      </c>
      <c r="G101" t="inlineStr">
        <is>
          <t>SÖDERKÖPING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46309</v>
      </c>
      <c r="F102" t="inlineStr">
        <is>
          <t>ÖSTERGÖTLANDS LÄN</t>
        </is>
      </c>
      <c r="G102" t="inlineStr">
        <is>
          <t>SÖDERKÖPING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44911</v>
      </c>
      <c r="E103" s="1" t="n">
        <v>46309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Allmännings- och besparingsskogar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46309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46309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46309</v>
      </c>
      <c r="F106" t="inlineStr">
        <is>
          <t>ÖSTERGÖTLANDS LÄN</t>
        </is>
      </c>
      <c r="G106" t="inlineStr">
        <is>
          <t>SÖDERKÖPING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45344</v>
      </c>
      <c r="E107" s="1" t="n">
        <v>46309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46309</v>
      </c>
      <c r="F108" t="inlineStr">
        <is>
          <t>ÖSTERGÖTLANDS LÄN</t>
        </is>
      </c>
      <c r="G108" t="inlineStr">
        <is>
          <t>SÖDERKÖPING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46309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Kyrkan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46309</v>
      </c>
      <c r="F110" t="inlineStr">
        <is>
          <t>ÖSTERGÖTLANDS LÄN</t>
        </is>
      </c>
      <c r="G110" t="inlineStr">
        <is>
          <t>SÖDERKÖPING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46309</v>
      </c>
      <c r="F111" t="inlineStr">
        <is>
          <t>ÖSTERGÖTLANDS LÄN</t>
        </is>
      </c>
      <c r="G111" t="inlineStr">
        <is>
          <t>SÖDERKÖPING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11673-2023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44994</v>
      </c>
      <c r="E112" s="1" t="n">
        <v>46309</v>
      </c>
      <c r="F112" t="inlineStr">
        <is>
          <t>ÖSTERGÖTLANDS LÄN</t>
        </is>
      </c>
      <c r="G112" t="inlineStr">
        <is>
          <t>SÖDERKÖPING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46309</v>
      </c>
      <c r="F113" t="inlineStr">
        <is>
          <t>ÖSTERGÖTLANDS LÄN</t>
        </is>
      </c>
      <c r="G113" t="inlineStr">
        <is>
          <t>SÖDERKÖPING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46309</v>
      </c>
      <c r="F114" t="inlineStr">
        <is>
          <t>ÖSTERGÖTLANDS LÄN</t>
        </is>
      </c>
      <c r="G114" t="inlineStr">
        <is>
          <t>SÖDERKÖPING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46309</v>
      </c>
      <c r="F115" t="inlineStr">
        <is>
          <t>ÖSTERGÖTLANDS LÄN</t>
        </is>
      </c>
      <c r="G115" t="inlineStr">
        <is>
          <t>SÖDERKÖPING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46309</v>
      </c>
      <c r="F116" t="inlineStr">
        <is>
          <t>ÖSTERGÖTLANDS LÄN</t>
        </is>
      </c>
      <c r="G116" t="inlineStr">
        <is>
          <t>SÖDERKÖPING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46309</v>
      </c>
      <c r="F117" t="inlineStr">
        <is>
          <t>ÖSTERGÖTLANDS LÄN</t>
        </is>
      </c>
      <c r="G117" t="inlineStr">
        <is>
          <t>SÖDERKÖPING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44736</v>
      </c>
      <c r="E118" s="1" t="n">
        <v>46309</v>
      </c>
      <c r="F118" t="inlineStr">
        <is>
          <t>ÖSTERGÖTLANDS LÄN</t>
        </is>
      </c>
      <c r="G118" t="inlineStr">
        <is>
          <t>SÖDERKÖPING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46309</v>
      </c>
      <c r="F119" t="inlineStr">
        <is>
          <t>ÖSTERGÖTLANDS LÄN</t>
        </is>
      </c>
      <c r="G119" t="inlineStr">
        <is>
          <t>SÖDERKÖPING</t>
        </is>
      </c>
      <c r="H119" t="inlineStr">
        <is>
          <t>Kyrkan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46309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45293</v>
      </c>
      <c r="E121" s="1" t="n">
        <v>46309</v>
      </c>
      <c r="F121" t="inlineStr">
        <is>
          <t>ÖSTERGÖTLANDS LÄN</t>
        </is>
      </c>
      <c r="G121" t="inlineStr">
        <is>
          <t>SÖDERKÖPING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46309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46309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46309</v>
      </c>
      <c r="F124" t="inlineStr">
        <is>
          <t>ÖSTERGÖTLANDS LÄN</t>
        </is>
      </c>
      <c r="G124" t="inlineStr">
        <is>
          <t>SÖDERKÖPING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46309</v>
      </c>
      <c r="F125" t="inlineStr">
        <is>
          <t>ÖSTERGÖTLANDS LÄN</t>
        </is>
      </c>
      <c r="G125" t="inlineStr">
        <is>
          <t>SÖDERKÖPING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46309</v>
      </c>
      <c r="F126" t="inlineStr">
        <is>
          <t>ÖSTERGÖTLANDS LÄN</t>
        </is>
      </c>
      <c r="G126" t="inlineStr">
        <is>
          <t>SÖDERKÖPING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46061</v>
      </c>
      <c r="E127" s="1" t="n">
        <v>46309</v>
      </c>
      <c r="F127" t="inlineStr">
        <is>
          <t>ÖSTERGÖTLANDS LÄN</t>
        </is>
      </c>
      <c r="G127" t="inlineStr">
        <is>
          <t>SÖDERKÖPING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46309</v>
      </c>
      <c r="F128" t="inlineStr">
        <is>
          <t>ÖSTERGÖTLANDS LÄN</t>
        </is>
      </c>
      <c r="G128" t="inlineStr">
        <is>
          <t>SÖDERKÖPING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46059</v>
      </c>
      <c r="E129" s="1" t="n">
        <v>46309</v>
      </c>
      <c r="F129" t="inlineStr">
        <is>
          <t>ÖSTERGÖTLANDS LÄN</t>
        </is>
      </c>
      <c r="G129" t="inlineStr">
        <is>
          <t>SÖDERKÖPING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46309</v>
      </c>
      <c r="F130" t="inlineStr">
        <is>
          <t>ÖSTERGÖTLANDS LÄN</t>
        </is>
      </c>
      <c r="G130" t="inlineStr">
        <is>
          <t>SÖDERKÖPING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46309</v>
      </c>
      <c r="F131" t="inlineStr">
        <is>
          <t>ÖSTERGÖTLANDS LÄN</t>
        </is>
      </c>
      <c r="G131" t="inlineStr">
        <is>
          <t>SÖDERKÖPING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45106</v>
      </c>
      <c r="E132" s="1" t="n">
        <v>46309</v>
      </c>
      <c r="F132" t="inlineStr">
        <is>
          <t>ÖSTERGÖTLANDS LÄN</t>
        </is>
      </c>
      <c r="G132" t="inlineStr">
        <is>
          <t>SÖDERKÖPING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46309</v>
      </c>
      <c r="F133" t="inlineStr">
        <is>
          <t>ÖSTERGÖTLANDS LÄN</t>
        </is>
      </c>
      <c r="G133" t="inlineStr">
        <is>
          <t>SÖDERKÖPING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46309</v>
      </c>
      <c r="F134" t="inlineStr">
        <is>
          <t>ÖSTERGÖTLANDS LÄN</t>
        </is>
      </c>
      <c r="G134" t="inlineStr">
        <is>
          <t>SÖDERKÖPING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46309</v>
      </c>
      <c r="F135" t="inlineStr">
        <is>
          <t>ÖSTERGÖTLANDS LÄN</t>
        </is>
      </c>
      <c r="G135" t="inlineStr">
        <is>
          <t>SÖDERKÖPING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46309</v>
      </c>
      <c r="F136" t="inlineStr">
        <is>
          <t>ÖSTERGÖTLANDS LÄN</t>
        </is>
      </c>
      <c r="G136" t="inlineStr">
        <is>
          <t>SÖDERKÖPING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46309</v>
      </c>
      <c r="F137" t="inlineStr">
        <is>
          <t>ÖSTERGÖTLANDS LÄN</t>
        </is>
      </c>
      <c r="G137" t="inlineStr">
        <is>
          <t>SÖDERKÖPING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46003</v>
      </c>
      <c r="E138" s="1" t="n">
        <v>46309</v>
      </c>
      <c r="F138" t="inlineStr">
        <is>
          <t>ÖSTERGÖTLANDS LÄN</t>
        </is>
      </c>
      <c r="G138" t="inlineStr">
        <is>
          <t>SÖDERKÖPING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11005-2026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46079</v>
      </c>
      <c r="E139" s="1" t="n">
        <v>46309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Kyrkan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45663</v>
      </c>
      <c r="E140" s="1" t="n">
        <v>46309</v>
      </c>
      <c r="F140" t="inlineStr">
        <is>
          <t>ÖSTERGÖTLANDS LÄN</t>
        </is>
      </c>
      <c r="G140" t="inlineStr">
        <is>
          <t>SÖDERKÖPING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46309</v>
      </c>
      <c r="F141" t="inlineStr">
        <is>
          <t>ÖSTERGÖTLANDS LÄN</t>
        </is>
      </c>
      <c r="G141" t="inlineStr">
        <is>
          <t>SÖDERKÖPING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46309</v>
      </c>
      <c r="F142" t="inlineStr">
        <is>
          <t>ÖSTERGÖTLANDS LÄN</t>
        </is>
      </c>
      <c r="G142" t="inlineStr">
        <is>
          <t>SÖDERKÖPING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46309</v>
      </c>
      <c r="F143" t="inlineStr">
        <is>
          <t>ÖSTERGÖTLANDS LÄN</t>
        </is>
      </c>
      <c r="G143" t="inlineStr">
        <is>
          <t>SÖDERKÖPING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46008</v>
      </c>
      <c r="E144" s="1" t="n">
        <v>46309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44798</v>
      </c>
      <c r="E145" s="1" t="n">
        <v>46309</v>
      </c>
      <c r="F145" t="inlineStr">
        <is>
          <t>ÖSTERGÖTLANDS LÄN</t>
        </is>
      </c>
      <c r="G145" t="inlineStr">
        <is>
          <t>SÖDERKÖPING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46309</v>
      </c>
      <c r="F146" t="inlineStr">
        <is>
          <t>ÖSTERGÖTLANDS LÄN</t>
        </is>
      </c>
      <c r="G146" t="inlineStr">
        <is>
          <t>SÖDERKÖPING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46309</v>
      </c>
      <c r="F147" t="inlineStr">
        <is>
          <t>ÖSTERGÖTLANDS LÄN</t>
        </is>
      </c>
      <c r="G147" t="inlineStr">
        <is>
          <t>SÖDERKÖPING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60160-2021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44495</v>
      </c>
      <c r="E148" s="1" t="n">
        <v>46309</v>
      </c>
      <c r="F148" t="inlineStr">
        <is>
          <t>ÖSTERGÖTLANDS LÄN</t>
        </is>
      </c>
      <c r="G148" t="inlineStr">
        <is>
          <t>SÖDERKÖPING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45701</v>
      </c>
      <c r="E149" s="1" t="n">
        <v>46309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46309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46309</v>
      </c>
      <c r="F151" t="inlineStr">
        <is>
          <t>ÖSTERGÖTLANDS LÄN</t>
        </is>
      </c>
      <c r="G151" t="inlineStr">
        <is>
          <t>SÖDERKÖPING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46309</v>
      </c>
      <c r="F152" t="inlineStr">
        <is>
          <t>ÖSTERGÖTLANDS LÄN</t>
        </is>
      </c>
      <c r="G152" t="inlineStr">
        <is>
          <t>SÖDERKÖPING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46309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46309</v>
      </c>
      <c r="F154" t="inlineStr">
        <is>
          <t>ÖSTERGÖTLANDS LÄN</t>
        </is>
      </c>
      <c r="G154" t="inlineStr">
        <is>
          <t>SÖDERKÖPING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46309</v>
      </c>
      <c r="F155" t="inlineStr">
        <is>
          <t>ÖSTERGÖTLANDS LÄN</t>
        </is>
      </c>
      <c r="G155" t="inlineStr">
        <is>
          <t>SÖDERKÖPING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20221-2023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45055</v>
      </c>
      <c r="E156" s="1" t="n">
        <v>46309</v>
      </c>
      <c r="F156" t="inlineStr">
        <is>
          <t>ÖSTERGÖTLANDS LÄN</t>
        </is>
      </c>
      <c r="G156" t="inlineStr">
        <is>
          <t>SÖDERKÖPING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46309</v>
      </c>
      <c r="F157" t="inlineStr">
        <is>
          <t>ÖSTERGÖTLANDS LÄN</t>
        </is>
      </c>
      <c r="G157" t="inlineStr">
        <is>
          <t>SÖDERKÖPING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46309</v>
      </c>
      <c r="F158" t="inlineStr">
        <is>
          <t>ÖSTERGÖTLANDS LÄN</t>
        </is>
      </c>
      <c r="G158" t="inlineStr">
        <is>
          <t>SÖDERKÖPING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46309</v>
      </c>
      <c r="F159" t="inlineStr">
        <is>
          <t>ÖSTERGÖTLANDS LÄN</t>
        </is>
      </c>
      <c r="G159" t="inlineStr">
        <is>
          <t>SÖDERKÖPING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45426</v>
      </c>
      <c r="E160" s="1" t="n">
        <v>46309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46309</v>
      </c>
      <c r="F161" t="inlineStr">
        <is>
          <t>ÖSTERGÖTLANDS LÄN</t>
        </is>
      </c>
      <c r="G161" t="inlineStr">
        <is>
          <t>SÖDERKÖPING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45926</v>
      </c>
      <c r="E162" s="1" t="n">
        <v>46309</v>
      </c>
      <c r="F162" t="inlineStr">
        <is>
          <t>ÖSTERGÖTLANDS LÄN</t>
        </is>
      </c>
      <c r="G162" t="inlineStr">
        <is>
          <t>SÖDERKÖPING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45926</v>
      </c>
      <c r="E163" s="1" t="n">
        <v>46309</v>
      </c>
      <c r="F163" t="inlineStr">
        <is>
          <t>ÖSTERGÖTLANDS LÄN</t>
        </is>
      </c>
      <c r="G163" t="inlineStr">
        <is>
          <t>SÖDERKÖPING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46309</v>
      </c>
      <c r="F164" t="inlineStr">
        <is>
          <t>ÖSTERGÖTLANDS LÄN</t>
        </is>
      </c>
      <c r="G164" t="inlineStr">
        <is>
          <t>SÖDERKÖPING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46136</v>
      </c>
      <c r="E165" s="1" t="n">
        <v>46309</v>
      </c>
      <c r="F165" t="inlineStr">
        <is>
          <t>ÖSTERGÖTLANDS LÄN</t>
        </is>
      </c>
      <c r="G165" t="inlineStr">
        <is>
          <t>SÖDERKÖPING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46309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46309</v>
      </c>
      <c r="F167" t="inlineStr">
        <is>
          <t>ÖSTERGÖTLANDS LÄN</t>
        </is>
      </c>
      <c r="G167" t="inlineStr">
        <is>
          <t>SÖDERKÖPING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45756</v>
      </c>
      <c r="E168" s="1" t="n">
        <v>46309</v>
      </c>
      <c r="F168" t="inlineStr">
        <is>
          <t>ÖSTERGÖTLANDS LÄN</t>
        </is>
      </c>
      <c r="G168" t="inlineStr">
        <is>
          <t>SÖDERKÖPING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66075-2021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44517</v>
      </c>
      <c r="E169" s="1" t="n">
        <v>46309</v>
      </c>
      <c r="F169" t="inlineStr">
        <is>
          <t>ÖSTERGÖTLANDS LÄN</t>
        </is>
      </c>
      <c r="G169" t="inlineStr">
        <is>
          <t>SÖDERKÖPING</t>
        </is>
      </c>
      <c r="H169" t="inlineStr">
        <is>
          <t>Kyrkan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46309</v>
      </c>
      <c r="F170" t="inlineStr">
        <is>
          <t>ÖSTERGÖTLANDS LÄN</t>
        </is>
      </c>
      <c r="G170" t="inlineStr">
        <is>
          <t>SÖDERKÖPING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45684</v>
      </c>
      <c r="E171" s="1" t="n">
        <v>46309</v>
      </c>
      <c r="F171" t="inlineStr">
        <is>
          <t>ÖSTERGÖTLANDS LÄN</t>
        </is>
      </c>
      <c r="G171" t="inlineStr">
        <is>
          <t>SÖDERKÖPING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46309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46309</v>
      </c>
      <c r="F173" t="inlineStr">
        <is>
          <t>ÖSTERGÖTLANDS LÄN</t>
        </is>
      </c>
      <c r="G173" t="inlineStr">
        <is>
          <t>SÖDERKÖPING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45782</v>
      </c>
      <c r="E174" s="1" t="n">
        <v>46309</v>
      </c>
      <c r="F174" t="inlineStr">
        <is>
          <t>ÖSTERGÖTLANDS LÄN</t>
        </is>
      </c>
      <c r="G174" t="inlineStr">
        <is>
          <t>SÖDERKÖPING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46139</v>
      </c>
      <c r="E175" s="1" t="n">
        <v>46309</v>
      </c>
      <c r="F175" t="inlineStr">
        <is>
          <t>ÖSTERGÖTLANDS LÄN</t>
        </is>
      </c>
      <c r="G175" t="inlineStr">
        <is>
          <t>SÖDERKÖPING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46309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46309</v>
      </c>
      <c r="F177" t="inlineStr">
        <is>
          <t>ÖSTERGÖTLANDS LÄN</t>
        </is>
      </c>
      <c r="G177" t="inlineStr">
        <is>
          <t>SÖDERKÖPING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46309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46309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42358-2023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46309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Allmännings- och besparingsskogar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46309</v>
      </c>
      <c r="F181" t="inlineStr">
        <is>
          <t>ÖSTERGÖTLANDS LÄN</t>
        </is>
      </c>
      <c r="G181" t="inlineStr">
        <is>
          <t>SÖDERKÖPING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46309</v>
      </c>
      <c r="F182" t="inlineStr">
        <is>
          <t>ÖSTERGÖTLANDS LÄN</t>
        </is>
      </c>
      <c r="G182" t="inlineStr">
        <is>
          <t>SÖDERKÖPING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46309</v>
      </c>
      <c r="F183" t="inlineStr">
        <is>
          <t>ÖSTERGÖTLANDS LÄN</t>
        </is>
      </c>
      <c r="G183" t="inlineStr">
        <is>
          <t>SÖDERKÖPING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20705-2026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46309</v>
      </c>
      <c r="F184" t="inlineStr">
        <is>
          <t>ÖSTERGÖTLANDS LÄN</t>
        </is>
      </c>
      <c r="G184" t="inlineStr">
        <is>
          <t>SÖDERKÖPING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46309</v>
      </c>
      <c r="F185" t="inlineStr">
        <is>
          <t>ÖSTERGÖTLANDS LÄN</t>
        </is>
      </c>
      <c r="G185" t="inlineStr">
        <is>
          <t>SÖDERKÖPING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46309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46309</v>
      </c>
      <c r="F187" t="inlineStr">
        <is>
          <t>ÖSTERGÖTLANDS LÄN</t>
        </is>
      </c>
      <c r="G187" t="inlineStr">
        <is>
          <t>SÖDERKÖPING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45849</v>
      </c>
      <c r="E188" s="1" t="n">
        <v>46309</v>
      </c>
      <c r="F188" t="inlineStr">
        <is>
          <t>ÖSTERGÖTLANDS LÄN</t>
        </is>
      </c>
      <c r="G188" t="inlineStr">
        <is>
          <t>SÖDERKÖPING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45379</v>
      </c>
      <c r="E189" s="1" t="n">
        <v>46309</v>
      </c>
      <c r="F189" t="inlineStr">
        <is>
          <t>ÖSTERGÖTLANDS LÄN</t>
        </is>
      </c>
      <c r="G189" t="inlineStr">
        <is>
          <t>SÖDERKÖPING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46309</v>
      </c>
      <c r="F190" t="inlineStr">
        <is>
          <t>ÖSTERGÖTLANDS LÄN</t>
        </is>
      </c>
      <c r="G190" t="inlineStr">
        <is>
          <t>SÖDERKÖPING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46309</v>
      </c>
      <c r="F191" t="inlineStr">
        <is>
          <t>ÖSTERGÖTLANDS LÄN</t>
        </is>
      </c>
      <c r="G191" t="inlineStr">
        <is>
          <t>SÖDERKÖPING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46309</v>
      </c>
      <c r="F192" t="inlineStr">
        <is>
          <t>ÖSTERGÖTLANDS LÄN</t>
        </is>
      </c>
      <c r="G192" t="inlineStr">
        <is>
          <t>SÖDERKÖPING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46309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46309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46309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46309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46309</v>
      </c>
      <c r="F197" t="inlineStr">
        <is>
          <t>ÖSTERGÖTLANDS LÄN</t>
        </is>
      </c>
      <c r="G197" t="inlineStr">
        <is>
          <t>SÖDERKÖPING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46309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46309</v>
      </c>
      <c r="F199" t="inlineStr">
        <is>
          <t>ÖSTERGÖTLANDS LÄN</t>
        </is>
      </c>
      <c r="G199" t="inlineStr">
        <is>
          <t>SÖDERKÖPING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45667</v>
      </c>
      <c r="E200" s="1" t="n">
        <v>46309</v>
      </c>
      <c r="F200" t="inlineStr">
        <is>
          <t>ÖSTERGÖTLANDS LÄN</t>
        </is>
      </c>
      <c r="G200" t="inlineStr">
        <is>
          <t>SÖDERKÖPING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46161</v>
      </c>
      <c r="E201" s="1" t="n">
        <v>46309</v>
      </c>
      <c r="F201" t="inlineStr">
        <is>
          <t>ÖSTERGÖTLANDS LÄN</t>
        </is>
      </c>
      <c r="G201" t="inlineStr">
        <is>
          <t>SÖDERKÖPING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46309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46309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Allmännings- och besparingsskogar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46309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45055</v>
      </c>
      <c r="E205" s="1" t="n">
        <v>46309</v>
      </c>
      <c r="F205" t="inlineStr">
        <is>
          <t>ÖSTERGÖTLANDS LÄN</t>
        </is>
      </c>
      <c r="G205" t="inlineStr">
        <is>
          <t>SÖDERKÖPING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46309</v>
      </c>
      <c r="F206" t="inlineStr">
        <is>
          <t>ÖSTERGÖTLANDS LÄN</t>
        </is>
      </c>
      <c r="G206" t="inlineStr">
        <is>
          <t>SÖDERKÖPING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46309</v>
      </c>
      <c r="F207" t="inlineStr">
        <is>
          <t>ÖSTERGÖTLANDS LÄN</t>
        </is>
      </c>
      <c r="G207" t="inlineStr">
        <is>
          <t>SÖDERKÖPING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46309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Kyrkan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46309</v>
      </c>
      <c r="F209" t="inlineStr">
        <is>
          <t>ÖSTERGÖTLANDS LÄN</t>
        </is>
      </c>
      <c r="G209" t="inlineStr">
        <is>
          <t>SÖDERKÖPING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46171</v>
      </c>
      <c r="E210" s="1" t="n">
        <v>46309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46309</v>
      </c>
      <c r="F211" t="inlineStr">
        <is>
          <t>ÖSTERGÖTLANDS LÄN</t>
        </is>
      </c>
      <c r="G211" t="inlineStr">
        <is>
          <t>SÖDERKÖPING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46309</v>
      </c>
      <c r="F212" t="inlineStr">
        <is>
          <t>ÖSTERGÖTLANDS LÄN</t>
        </is>
      </c>
      <c r="G212" t="inlineStr">
        <is>
          <t>SÖDERKÖPING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46309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44618</v>
      </c>
      <c r="E214" s="1" t="n">
        <v>46309</v>
      </c>
      <c r="F214" t="inlineStr">
        <is>
          <t>ÖSTERGÖTLANDS LÄN</t>
        </is>
      </c>
      <c r="G214" t="inlineStr">
        <is>
          <t>SÖDERKÖPING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44711</v>
      </c>
      <c r="E215" s="1" t="n">
        <v>46309</v>
      </c>
      <c r="F215" t="inlineStr">
        <is>
          <t>ÖSTERGÖTLANDS LÄN</t>
        </is>
      </c>
      <c r="G215" t="inlineStr">
        <is>
          <t>SÖDERKÖPING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46309</v>
      </c>
      <c r="F216" t="inlineStr">
        <is>
          <t>ÖSTERGÖTLANDS LÄN</t>
        </is>
      </c>
      <c r="G216" t="inlineStr">
        <is>
          <t>SÖDERKÖPING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45197</v>
      </c>
      <c r="E217" s="1" t="n">
        <v>46309</v>
      </c>
      <c r="F217" t="inlineStr">
        <is>
          <t>ÖSTERGÖTLANDS LÄN</t>
        </is>
      </c>
      <c r="G217" t="inlineStr">
        <is>
          <t>SÖDERKÖPING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46309</v>
      </c>
      <c r="F218" t="inlineStr">
        <is>
          <t>ÖSTERGÖTLANDS LÄN</t>
        </is>
      </c>
      <c r="G218" t="inlineStr">
        <is>
          <t>SÖDERKÖPING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46309</v>
      </c>
      <c r="F219" t="inlineStr">
        <is>
          <t>ÖSTERGÖTLANDS LÄN</t>
        </is>
      </c>
      <c r="G219" t="inlineStr">
        <is>
          <t>SÖDERKÖPING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45174</v>
      </c>
      <c r="E220" s="1" t="n">
        <v>46309</v>
      </c>
      <c r="F220" t="inlineStr">
        <is>
          <t>ÖSTERGÖTLANDS LÄN</t>
        </is>
      </c>
      <c r="G220" t="inlineStr">
        <is>
          <t>SÖDERKÖPING</t>
        </is>
      </c>
      <c r="I220" t="n">
        <v>15.3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46309</v>
      </c>
      <c r="F221" t="inlineStr">
        <is>
          <t>ÖSTERGÖTLANDS LÄN</t>
        </is>
      </c>
      <c r="G221" t="inlineStr">
        <is>
          <t>SÖDERKÖPING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46309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Holmen skog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46309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46309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46309</v>
      </c>
      <c r="F225" t="inlineStr">
        <is>
          <t>ÖSTERGÖTLANDS LÄN</t>
        </is>
      </c>
      <c r="G225" t="inlineStr">
        <is>
          <t>SÖDERKÖPING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46309</v>
      </c>
      <c r="F226" t="inlineStr">
        <is>
          <t>ÖSTERGÖTLANDS LÄN</t>
        </is>
      </c>
      <c r="G226" t="inlineStr">
        <is>
          <t>SÖDERKÖPING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46309</v>
      </c>
      <c r="F227" t="inlineStr">
        <is>
          <t>ÖSTERGÖTLANDS LÄN</t>
        </is>
      </c>
      <c r="G227" t="inlineStr">
        <is>
          <t>SÖDERKÖPING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46309</v>
      </c>
      <c r="F228" t="inlineStr">
        <is>
          <t>ÖSTERGÖTLANDS LÄN</t>
        </is>
      </c>
      <c r="G228" t="inlineStr">
        <is>
          <t>SÖDERKÖPING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46309</v>
      </c>
      <c r="F229" t="inlineStr">
        <is>
          <t>ÖSTERGÖTLANDS LÄN</t>
        </is>
      </c>
      <c r="G229" t="inlineStr">
        <is>
          <t>SÖDERKÖPING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46309</v>
      </c>
      <c r="F230" t="inlineStr">
        <is>
          <t>ÖSTERGÖTLANDS LÄN</t>
        </is>
      </c>
      <c r="G230" t="inlineStr">
        <is>
          <t>SÖDERKÖPING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46309</v>
      </c>
      <c r="F231" t="inlineStr">
        <is>
          <t>ÖSTERGÖTLANDS LÄN</t>
        </is>
      </c>
      <c r="G231" t="inlineStr">
        <is>
          <t>SÖDERKÖPING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46309</v>
      </c>
      <c r="F232" t="inlineStr">
        <is>
          <t>ÖSTERGÖTLANDS LÄN</t>
        </is>
      </c>
      <c r="G232" t="inlineStr">
        <is>
          <t>SÖDERKÖPING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26576-2026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46309</v>
      </c>
      <c r="F233" t="inlineStr">
        <is>
          <t>ÖSTERGÖTLANDS LÄN</t>
        </is>
      </c>
      <c r="G233" t="inlineStr">
        <is>
          <t>SÖDERKÖPING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46309</v>
      </c>
      <c r="F234" t="inlineStr">
        <is>
          <t>ÖSTERGÖTLANDS LÄN</t>
        </is>
      </c>
      <c r="G234" t="inlineStr">
        <is>
          <t>SÖDERKÖPING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26439-2026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46183</v>
      </c>
      <c r="E235" s="1" t="n">
        <v>46309</v>
      </c>
      <c r="F235" t="inlineStr">
        <is>
          <t>ÖSTERGÖTLANDS LÄN</t>
        </is>
      </c>
      <c r="G235" t="inlineStr">
        <is>
          <t>SÖDERKÖPING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44754</v>
      </c>
      <c r="E236" s="1" t="n">
        <v>46309</v>
      </c>
      <c r="F236" t="inlineStr">
        <is>
          <t>ÖSTERGÖTLANDS LÄN</t>
        </is>
      </c>
      <c r="G236" t="inlineStr">
        <is>
          <t>SÖDERKÖPING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45297</v>
      </c>
      <c r="E237" s="1" t="n">
        <v>46309</v>
      </c>
      <c r="F237" t="inlineStr">
        <is>
          <t>ÖSTERGÖTLANDS LÄN</t>
        </is>
      </c>
      <c r="G237" t="inlineStr">
        <is>
          <t>SÖDERKÖPING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46155</v>
      </c>
      <c r="E238" s="1" t="n">
        <v>46309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46309</v>
      </c>
      <c r="F239" t="inlineStr">
        <is>
          <t>ÖSTERGÖTLANDS LÄN</t>
        </is>
      </c>
      <c r="G239" t="inlineStr">
        <is>
          <t>SÖDERKÖPING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46309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46309</v>
      </c>
      <c r="F241" t="inlineStr">
        <is>
          <t>ÖSTERGÖTLANDS LÄN</t>
        </is>
      </c>
      <c r="G241" t="inlineStr">
        <is>
          <t>SÖDERKÖPING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46309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46309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44775</v>
      </c>
      <c r="E244" s="1" t="n">
        <v>46309</v>
      </c>
      <c r="F244" t="inlineStr">
        <is>
          <t>ÖSTERGÖTLANDS LÄN</t>
        </is>
      </c>
      <c r="G244" t="inlineStr">
        <is>
          <t>SÖDERKÖPING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46309</v>
      </c>
      <c r="F245" t="inlineStr">
        <is>
          <t>ÖSTERGÖTLANDS LÄN</t>
        </is>
      </c>
      <c r="G245" t="inlineStr">
        <is>
          <t>SÖDERKÖPING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46309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46309</v>
      </c>
      <c r="F247" t="inlineStr">
        <is>
          <t>ÖSTERGÖTLANDS LÄN</t>
        </is>
      </c>
      <c r="G247" t="inlineStr">
        <is>
          <t>SÖDERKÖPING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46309</v>
      </c>
      <c r="F248" t="inlineStr">
        <is>
          <t>ÖSTERGÖTLANDS LÄN</t>
        </is>
      </c>
      <c r="G248" t="inlineStr">
        <is>
          <t>SÖDERKÖPING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69425-2021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44531</v>
      </c>
      <c r="E249" s="1" t="n">
        <v>46309</v>
      </c>
      <c r="F249" t="inlineStr">
        <is>
          <t>ÖSTERGÖTLANDS LÄN</t>
        </is>
      </c>
      <c r="G249" t="inlineStr">
        <is>
          <t>SÖDERKÖPING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46309</v>
      </c>
      <c r="F250" t="inlineStr">
        <is>
          <t>ÖSTERGÖTLANDS LÄN</t>
        </is>
      </c>
      <c r="G250" t="inlineStr">
        <is>
          <t>SÖDERKÖPING</t>
        </is>
      </c>
      <c r="I250" t="n">
        <v>18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45282</v>
      </c>
      <c r="E251" s="1" t="n">
        <v>46309</v>
      </c>
      <c r="F251" t="inlineStr">
        <is>
          <t>ÖSTERGÖTLANDS LÄN</t>
        </is>
      </c>
      <c r="G251" t="inlineStr">
        <is>
          <t>SÖDERKÖPING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45194</v>
      </c>
      <c r="E252" s="1" t="n">
        <v>46309</v>
      </c>
      <c r="F252" t="inlineStr">
        <is>
          <t>ÖSTERGÖTLANDS LÄN</t>
        </is>
      </c>
      <c r="G252" t="inlineStr">
        <is>
          <t>SÖDERKÖPING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46309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46309</v>
      </c>
      <c r="F254" t="inlineStr">
        <is>
          <t>ÖSTERGÖTLANDS LÄN</t>
        </is>
      </c>
      <c r="G254" t="inlineStr">
        <is>
          <t>SÖDERKÖPING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66362-2021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44518</v>
      </c>
      <c r="E255" s="1" t="n">
        <v>46309</v>
      </c>
      <c r="F255" t="inlineStr">
        <is>
          <t>ÖSTERGÖTLANDS LÄN</t>
        </is>
      </c>
      <c r="G255" t="inlineStr">
        <is>
          <t>SÖDERKÖPING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46309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46309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46309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Allmännings- och besparingsskogar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46219</v>
      </c>
      <c r="E259" s="1" t="n">
        <v>46309</v>
      </c>
      <c r="F259" t="inlineStr">
        <is>
          <t>ÖSTERGÖTLANDS LÄN</t>
        </is>
      </c>
      <c r="G259" t="inlineStr">
        <is>
          <t>SÖDERKÖPING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46219</v>
      </c>
      <c r="E260" s="1" t="n">
        <v>46309</v>
      </c>
      <c r="F260" t="inlineStr">
        <is>
          <t>ÖSTERGÖTLANDS LÄN</t>
        </is>
      </c>
      <c r="G260" t="inlineStr">
        <is>
          <t>SÖDERKÖPING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46309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49227-2022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44861</v>
      </c>
      <c r="E262" s="1" t="n">
        <v>46309</v>
      </c>
      <c r="F262" t="inlineStr">
        <is>
          <t>ÖSTERGÖTLANDS LÄN</t>
        </is>
      </c>
      <c r="G262" t="inlineStr">
        <is>
          <t>SÖDERKÖPING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45061</v>
      </c>
      <c r="E263" s="1" t="n">
        <v>46309</v>
      </c>
      <c r="F263" t="inlineStr">
        <is>
          <t>ÖSTERGÖTLANDS LÄN</t>
        </is>
      </c>
      <c r="G263" t="inlineStr">
        <is>
          <t>SÖDERKÖPING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46309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Allmännings- och besparingsskogar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46227</v>
      </c>
      <c r="E265" s="1" t="n">
        <v>46309</v>
      </c>
      <c r="F265" t="inlineStr">
        <is>
          <t>ÖSTERGÖTLANDS LÄN</t>
        </is>
      </c>
      <c r="G265" t="inlineStr">
        <is>
          <t>SÖDERKÖPING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46227</v>
      </c>
      <c r="E266" s="1" t="n">
        <v>46309</v>
      </c>
      <c r="F266" t="inlineStr">
        <is>
          <t>ÖSTERGÖTLANDS LÄN</t>
        </is>
      </c>
      <c r="G266" t="inlineStr">
        <is>
          <t>SÖDERKÖPING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46227</v>
      </c>
      <c r="E267" s="1" t="n">
        <v>46309</v>
      </c>
      <c r="F267" t="inlineStr">
        <is>
          <t>ÖSTERGÖTLANDS LÄN</t>
        </is>
      </c>
      <c r="G267" t="inlineStr">
        <is>
          <t>SÖDERKÖPING</t>
        </is>
      </c>
      <c r="I267" t="n">
        <v>8.5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45097</v>
      </c>
      <c r="E268" s="1" t="n">
        <v>46309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25790-2023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45090</v>
      </c>
      <c r="E269" s="1" t="n">
        <v>46309</v>
      </c>
      <c r="F269" t="inlineStr">
        <is>
          <t>ÖSTERGÖTLANDS LÄN</t>
        </is>
      </c>
      <c r="G269" t="inlineStr">
        <is>
          <t>SÖDERKÖPING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46309</v>
      </c>
      <c r="F270" t="inlineStr">
        <is>
          <t>ÖSTERGÖTLANDS LÄN</t>
        </is>
      </c>
      <c r="G270" t="inlineStr">
        <is>
          <t>SÖDERKÖPING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45245</v>
      </c>
      <c r="E271" s="1" t="n">
        <v>46309</v>
      </c>
      <c r="F271" t="inlineStr">
        <is>
          <t>ÖSTERGÖTLANDS LÄN</t>
        </is>
      </c>
      <c r="G271" t="inlineStr">
        <is>
          <t>SÖDERKÖPING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46309</v>
      </c>
      <c r="F272" t="inlineStr">
        <is>
          <t>ÖSTERGÖTLANDS LÄN</t>
        </is>
      </c>
      <c r="G272" t="inlineStr">
        <is>
          <t>SÖDERKÖPING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46309</v>
      </c>
      <c r="F273" t="inlineStr">
        <is>
          <t>ÖSTERGÖTLANDS LÄN</t>
        </is>
      </c>
      <c r="G273" t="inlineStr">
        <is>
          <t>SÖDERKÖPING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45504</v>
      </c>
      <c r="E274" s="1" t="n">
        <v>46309</v>
      </c>
      <c r="F274" t="inlineStr">
        <is>
          <t>ÖSTERGÖTLANDS LÄN</t>
        </is>
      </c>
      <c r="G274" t="inlineStr">
        <is>
          <t>SÖDERKÖPING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46309</v>
      </c>
      <c r="F275" t="inlineStr">
        <is>
          <t>ÖSTERGÖTLANDS LÄN</t>
        </is>
      </c>
      <c r="G275" t="inlineStr">
        <is>
          <t>SÖDERKÖPING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61802-2022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46309</v>
      </c>
      <c r="F276" t="inlineStr">
        <is>
          <t>ÖSTERGÖTLANDS LÄN</t>
        </is>
      </c>
      <c r="G276" t="inlineStr">
        <is>
          <t>SÖDERKÖPING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40351-2023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45169</v>
      </c>
      <c r="E277" s="1" t="n">
        <v>46309</v>
      </c>
      <c r="F277" t="inlineStr">
        <is>
          <t>ÖSTERGÖTLANDS LÄN</t>
        </is>
      </c>
      <c r="G277" t="inlineStr">
        <is>
          <t>SÖDERKÖPING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46309</v>
      </c>
      <c r="F278" t="inlineStr">
        <is>
          <t>ÖSTERGÖTLANDS LÄN</t>
        </is>
      </c>
      <c r="G278" t="inlineStr">
        <is>
          <t>SÖDERKÖPING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46309</v>
      </c>
      <c r="F279" t="inlineStr">
        <is>
          <t>ÖSTERGÖTLANDS LÄN</t>
        </is>
      </c>
      <c r="G279" t="inlineStr">
        <is>
          <t>SÖDERKÖPING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46309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45180</v>
      </c>
      <c r="E281" s="1" t="n">
        <v>46309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46241</v>
      </c>
      <c r="E282" s="1" t="n">
        <v>46309</v>
      </c>
      <c r="F282" t="inlineStr">
        <is>
          <t>ÖSTERGÖTLANDS LÄN</t>
        </is>
      </c>
      <c r="G282" t="inlineStr">
        <is>
          <t>SÖDERKÖPING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46309</v>
      </c>
      <c r="F283" t="inlineStr">
        <is>
          <t>ÖSTERGÖTLANDS LÄN</t>
        </is>
      </c>
      <c r="G283" t="inlineStr">
        <is>
          <t>SÖDERKÖPING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45295</v>
      </c>
      <c r="E284" s="1" t="n">
        <v>46309</v>
      </c>
      <c r="F284" t="inlineStr">
        <is>
          <t>ÖSTERGÖTLANDS LÄN</t>
        </is>
      </c>
      <c r="G284" t="inlineStr">
        <is>
          <t>SÖDERKÖPING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46309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46309</v>
      </c>
      <c r="F286" t="inlineStr">
        <is>
          <t>ÖSTERGÖTLANDS LÄN</t>
        </is>
      </c>
      <c r="G286" t="inlineStr">
        <is>
          <t>SÖDERKÖPING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46309</v>
      </c>
      <c r="F287" t="inlineStr">
        <is>
          <t>ÖSTERGÖTLANDS LÄN</t>
        </is>
      </c>
      <c r="G287" t="inlineStr">
        <is>
          <t>SÖDERKÖPING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46309</v>
      </c>
      <c r="F288" t="inlineStr">
        <is>
          <t>ÖSTERGÖTLANDS LÄN</t>
        </is>
      </c>
      <c r="G288" t="inlineStr">
        <is>
          <t>SÖDERKÖPING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46309</v>
      </c>
      <c r="F289" t="inlineStr">
        <is>
          <t>ÖSTERGÖTLANDS LÄN</t>
        </is>
      </c>
      <c r="G289" t="inlineStr">
        <is>
          <t>SÖDERKÖPING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45190</v>
      </c>
      <c r="E290" s="1" t="n">
        <v>46309</v>
      </c>
      <c r="F290" t="inlineStr">
        <is>
          <t>ÖSTERGÖTLANDS LÄN</t>
        </is>
      </c>
      <c r="G290" t="inlineStr">
        <is>
          <t>SÖDERKÖPING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46309</v>
      </c>
      <c r="F291" t="inlineStr">
        <is>
          <t>ÖSTERGÖTLANDS LÄN</t>
        </is>
      </c>
      <c r="G291" t="inlineStr">
        <is>
          <t>SÖDERKÖPING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46309</v>
      </c>
      <c r="F292" t="inlineStr">
        <is>
          <t>ÖSTERGÖTLANDS LÄN</t>
        </is>
      </c>
      <c r="G292" t="inlineStr">
        <is>
          <t>SÖDERKÖPING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44796</v>
      </c>
      <c r="E293" s="1" t="n">
        <v>46309</v>
      </c>
      <c r="F293" t="inlineStr">
        <is>
          <t>ÖSTERGÖTLANDS LÄN</t>
        </is>
      </c>
      <c r="G293" t="inlineStr">
        <is>
          <t>SÖDERKÖPING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45265</v>
      </c>
      <c r="E294" s="1" t="n">
        <v>46309</v>
      </c>
      <c r="F294" t="inlineStr">
        <is>
          <t>ÖSTERGÖTLANDS LÄN</t>
        </is>
      </c>
      <c r="G294" t="inlineStr">
        <is>
          <t>SÖDERKÖPING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44588</v>
      </c>
      <c r="E295" s="1" t="n">
        <v>46309</v>
      </c>
      <c r="F295" t="inlineStr">
        <is>
          <t>ÖSTERGÖTLANDS LÄN</t>
        </is>
      </c>
      <c r="G295" t="inlineStr">
        <is>
          <t>SÖDERKÖPING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46309</v>
      </c>
      <c r="F296" t="inlineStr">
        <is>
          <t>ÖSTERGÖTLANDS LÄN</t>
        </is>
      </c>
      <c r="G296" t="inlineStr">
        <is>
          <t>SÖDERKÖPING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63392-2021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46309</v>
      </c>
      <c r="F297" t="inlineStr">
        <is>
          <t>ÖSTERGÖTLANDS LÄN</t>
        </is>
      </c>
      <c r="G297" t="inlineStr">
        <is>
          <t>SÖDERKÖPING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46309</v>
      </c>
      <c r="F298" t="inlineStr">
        <is>
          <t>ÖSTERGÖTLANDS LÄN</t>
        </is>
      </c>
      <c r="G298" t="inlineStr">
        <is>
          <t>SÖDERKÖPING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44965</v>
      </c>
      <c r="E299" s="1" t="n">
        <v>46309</v>
      </c>
      <c r="F299" t="inlineStr">
        <is>
          <t>ÖSTERGÖTLANDS LÄN</t>
        </is>
      </c>
      <c r="G299" t="inlineStr">
        <is>
          <t>SÖDERKÖPING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33649-2026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46309</v>
      </c>
      <c r="F300" t="inlineStr">
        <is>
          <t>ÖSTERGÖTLANDS LÄN</t>
        </is>
      </c>
      <c r="G300" t="inlineStr">
        <is>
          <t>SÖDERKÖPING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44174-2023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45188</v>
      </c>
      <c r="E301" s="1" t="n">
        <v>46309</v>
      </c>
      <c r="F301" t="inlineStr">
        <is>
          <t>ÖSTERGÖTLANDS LÄN</t>
        </is>
      </c>
      <c r="G301" t="inlineStr">
        <is>
          <t>SÖDERKÖPING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45257</v>
      </c>
      <c r="E302" s="1" t="n">
        <v>46309</v>
      </c>
      <c r="F302" t="inlineStr">
        <is>
          <t>ÖSTERGÖTLANDS LÄN</t>
        </is>
      </c>
      <c r="G302" t="inlineStr">
        <is>
          <t>SÖDERKÖPING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48555-2023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45208</v>
      </c>
      <c r="E303" s="1" t="n">
        <v>46309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45687</v>
      </c>
      <c r="E304" s="1" t="n">
        <v>46309</v>
      </c>
      <c r="F304" t="inlineStr">
        <is>
          <t>ÖSTERGÖTLANDS LÄN</t>
        </is>
      </c>
      <c r="G304" t="inlineStr">
        <is>
          <t>SÖDERKÖPING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45181</v>
      </c>
      <c r="E305" s="1" t="n">
        <v>46309</v>
      </c>
      <c r="F305" t="inlineStr">
        <is>
          <t>ÖSTERGÖTLANDS LÄN</t>
        </is>
      </c>
      <c r="G305" t="inlineStr">
        <is>
          <t>SÖDERKÖPING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46309</v>
      </c>
      <c r="F306" t="inlineStr">
        <is>
          <t>ÖSTERGÖTLANDS LÄN</t>
        </is>
      </c>
      <c r="G306" t="inlineStr">
        <is>
          <t>SÖDERKÖPING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46309</v>
      </c>
      <c r="F307" t="inlineStr">
        <is>
          <t>ÖSTERGÖTLANDS LÄN</t>
        </is>
      </c>
      <c r="G307" t="inlineStr">
        <is>
          <t>SÖDERKÖPING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45504</v>
      </c>
      <c r="E308" s="1" t="n">
        <v>46309</v>
      </c>
      <c r="F308" t="inlineStr">
        <is>
          <t>ÖSTERGÖTLANDS LÄN</t>
        </is>
      </c>
      <c r="G308" t="inlineStr">
        <is>
          <t>SÖDERKÖPING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45504</v>
      </c>
      <c r="E309" s="1" t="n">
        <v>46309</v>
      </c>
      <c r="F309" t="inlineStr">
        <is>
          <t>ÖSTERGÖTLANDS LÄN</t>
        </is>
      </c>
      <c r="G309" t="inlineStr">
        <is>
          <t>SÖDERKÖPING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46309</v>
      </c>
      <c r="F310" t="inlineStr">
        <is>
          <t>ÖSTERGÖTLANDS LÄN</t>
        </is>
      </c>
      <c r="G310" t="inlineStr">
        <is>
          <t>SÖDERKÖPING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45692</v>
      </c>
      <c r="E311" s="1" t="n">
        <v>46309</v>
      </c>
      <c r="F311" t="inlineStr">
        <is>
          <t>ÖSTERGÖTLANDS LÄN</t>
        </is>
      </c>
      <c r="G311" t="inlineStr">
        <is>
          <t>SÖDERKÖPING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51746-2023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45222</v>
      </c>
      <c r="E312" s="1" t="n">
        <v>46309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46309</v>
      </c>
      <c r="F313" t="inlineStr">
        <is>
          <t>ÖSTERGÖTLANDS LÄN</t>
        </is>
      </c>
      <c r="G313" t="inlineStr">
        <is>
          <t>SÖDERKÖPING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50574-2024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45601</v>
      </c>
      <c r="E314" s="1" t="n">
        <v>46309</v>
      </c>
      <c r="F314" t="inlineStr">
        <is>
          <t>ÖSTERGÖTLANDS LÄN</t>
        </is>
      </c>
      <c r="G314" t="inlineStr">
        <is>
          <t>SÖDERKÖPING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46309</v>
      </c>
      <c r="F315" t="inlineStr">
        <is>
          <t>ÖSTERGÖTLANDS LÄN</t>
        </is>
      </c>
      <c r="G315" t="inlineStr">
        <is>
          <t>SÖDERKÖPING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45504</v>
      </c>
      <c r="E316" s="1" t="n">
        <v>46309</v>
      </c>
      <c r="F316" t="inlineStr">
        <is>
          <t>ÖSTERGÖTLANDS LÄN</t>
        </is>
      </c>
      <c r="G316" t="inlineStr">
        <is>
          <t>SÖDERKÖPING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46309</v>
      </c>
      <c r="F317" t="inlineStr">
        <is>
          <t>ÖSTERGÖTLANDS LÄN</t>
        </is>
      </c>
      <c r="G317" t="inlineStr">
        <is>
          <t>SÖDERKÖPING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46309</v>
      </c>
      <c r="F318" t="inlineStr">
        <is>
          <t>ÖSTERGÖTLANDS LÄN</t>
        </is>
      </c>
      <c r="G318" t="inlineStr">
        <is>
          <t>SÖDERKÖPING</t>
        </is>
      </c>
      <c r="I318" t="n">
        <v>13.8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45504</v>
      </c>
      <c r="E319" s="1" t="n">
        <v>46309</v>
      </c>
      <c r="F319" t="inlineStr">
        <is>
          <t>ÖSTERGÖTLANDS LÄN</t>
        </is>
      </c>
      <c r="G319" t="inlineStr">
        <is>
          <t>SÖDERKÖPING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46258</v>
      </c>
      <c r="E320" s="1" t="n">
        <v>46309</v>
      </c>
      <c r="F320" t="inlineStr">
        <is>
          <t>ÖSTERGÖTLANDS LÄN</t>
        </is>
      </c>
      <c r="G320" t="inlineStr">
        <is>
          <t>SÖDERKÖPING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46309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46300</v>
      </c>
      <c r="E322" s="1" t="n">
        <v>46309</v>
      </c>
      <c r="F322" t="inlineStr">
        <is>
          <t>ÖSTERGÖTLANDS LÄN</t>
        </is>
      </c>
      <c r="G322" t="inlineStr">
        <is>
          <t>SÖDERKÖPING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46309</v>
      </c>
      <c r="F323" t="inlineStr">
        <is>
          <t>ÖSTERGÖTLANDS LÄN</t>
        </is>
      </c>
      <c r="G323" t="inlineStr">
        <is>
          <t>SÖDERKÖPING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46309</v>
      </c>
      <c r="F324" t="inlineStr">
        <is>
          <t>ÖSTERGÖTLANDS LÄN</t>
        </is>
      </c>
      <c r="G324" t="inlineStr">
        <is>
          <t>SÖDERKÖPING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46309</v>
      </c>
      <c r="F325" t="inlineStr">
        <is>
          <t>ÖSTERGÖTLANDS LÄN</t>
        </is>
      </c>
      <c r="G325" t="inlineStr">
        <is>
          <t>SÖDERKÖPING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46305</v>
      </c>
      <c r="E326" s="1" t="n">
        <v>46309</v>
      </c>
      <c r="F326" t="inlineStr">
        <is>
          <t>ÖSTERGÖTLANDS LÄN</t>
        </is>
      </c>
      <c r="G326" t="inlineStr">
        <is>
          <t>SÖDERKÖPING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46309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46309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46309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46309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46309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46309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2026-10-14T02:03:47Z</dcterms:created>
  <dcterms:modified xmlns:dcterms="http://purl.org/dc/terms/" xmlns:xsi="http://www.w3.org/2001/XMLSchema-instance" xsi:type="dcterms:W3CDTF">2026-10-14T02:03:47Z</dcterms:modified>
</cp:coreProperties>
</file>