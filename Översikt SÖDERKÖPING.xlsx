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46297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46297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46297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46297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46297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46297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46297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46297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46297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46297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46297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46297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46297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21648-2023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45063</v>
      </c>
      <c r="E22" s="1" t="n">
        <v>46297</v>
      </c>
      <c r="F22" t="inlineStr">
        <is>
          <t>ÖSTERGÖTLANDS LÄN</t>
        </is>
      </c>
      <c r="G22" t="inlineStr">
        <is>
          <t>SÖDERKÖPING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Hasselsnok
Kopparödla</t>
        </is>
      </c>
      <c r="W22">
        <f>HYPERLINK("https://klasma.github.io/Logging_0582/artfynd/A 21648-2023 artfynd.xlsx", "A 21648-2023")</f>
        <v/>
      </c>
      <c r="X22">
        <f>HYPERLINK("https://klasma.github.io/Logging_0582/kartor/A 21648-2023 karta.png", "A 21648-2023")</f>
        <v/>
      </c>
      <c r="Y22">
        <f>HYPERLINK("https://klasma.github.io/Logging_0582/kartor_geotiff/A 21648-2023 georefererad karta.tif", "A 21648-2023")</f>
        <v/>
      </c>
      <c r="AA22">
        <f>HYPERLINK("https://klasma.github.io/Logging_0582/klagomål/A 21648-2023 FSC-klagomål.docx", "A 21648-2023")</f>
        <v/>
      </c>
      <c r="AB22">
        <f>HYPERLINK("https://klasma.github.io/Logging_0582/klagomålsmail/A 21648-2023 FSC-klagomål mail.docx", "A 21648-2023")</f>
        <v/>
      </c>
      <c r="AC22">
        <f>HYPERLINK("https://klasma.github.io/Logging_0582/tillsyn/A 21648-2023 tillsynsbegäran.docx", "A 21648-2023")</f>
        <v/>
      </c>
      <c r="AD22">
        <f>HYPERLINK("https://klasma.github.io/Logging_0582/tillsynsmail/A 21648-2023 tillsynsbegäran mail.docx", "A 21648-2023")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46297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46297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46297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46297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46297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46297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46297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46297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46297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46297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46297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46297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46297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46297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46297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46297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46297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46297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46297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46297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46297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46297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46297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46297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46297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46297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46297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46297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46297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46297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46297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46297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46297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46297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46297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46297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46297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46297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46297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Holmen skog AB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50050-2023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45215</v>
      </c>
      <c r="E62" s="1" t="n">
        <v>46297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46297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45297</v>
      </c>
      <c r="E64" s="1" t="n">
        <v>46297</v>
      </c>
      <c r="F64" t="inlineStr">
        <is>
          <t>ÖSTERGÖTLANDS LÄN</t>
        </is>
      </c>
      <c r="G64" t="inlineStr">
        <is>
          <t>SÖDERKÖPING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29519-2023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45106</v>
      </c>
      <c r="E65" s="1" t="n">
        <v>46297</v>
      </c>
      <c r="F65" t="inlineStr">
        <is>
          <t>ÖSTERGÖTLANDS LÄN</t>
        </is>
      </c>
      <c r="G65" t="inlineStr">
        <is>
          <t>SÖDERKÖPING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53777-2023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46297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46297</v>
      </c>
      <c r="F67" t="inlineStr">
        <is>
          <t>ÖSTERGÖTLANDS LÄN</t>
        </is>
      </c>
      <c r="G67" t="inlineStr">
        <is>
          <t>SÖDERKÖPING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33726-2023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46297</v>
      </c>
      <c r="F68" t="inlineStr">
        <is>
          <t>ÖSTERGÖTLANDS LÄN</t>
        </is>
      </c>
      <c r="G68" t="inlineStr">
        <is>
          <t>SÖDERKÖPING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46297</v>
      </c>
      <c r="F69" t="inlineStr">
        <is>
          <t>ÖSTERGÖTLANDS LÄN</t>
        </is>
      </c>
      <c r="G69" t="inlineStr">
        <is>
          <t>SÖDERKÖPING</t>
        </is>
      </c>
      <c r="I69" t="n">
        <v>12.2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46297</v>
      </c>
      <c r="F70" t="inlineStr">
        <is>
          <t>ÖSTERGÖTLANDS LÄN</t>
        </is>
      </c>
      <c r="G70" t="inlineStr">
        <is>
          <t>SÖDERKÖPING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46297</v>
      </c>
      <c r="F71" t="inlineStr">
        <is>
          <t>ÖSTERGÖTLANDS LÄN</t>
        </is>
      </c>
      <c r="G71" t="inlineStr">
        <is>
          <t>SÖDERKÖPING</t>
        </is>
      </c>
      <c r="H71" t="inlineStr">
        <is>
          <t>Allmännings- och besparingsskogar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46297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45884</v>
      </c>
      <c r="E73" s="1" t="n">
        <v>46297</v>
      </c>
      <c r="F73" t="inlineStr">
        <is>
          <t>ÖSTERGÖTLANDS LÄN</t>
        </is>
      </c>
      <c r="G73" t="inlineStr">
        <is>
          <t>SÖDERKÖPING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46297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46297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46297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46297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39854-2025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45891</v>
      </c>
      <c r="E78" s="1" t="n">
        <v>46297</v>
      </c>
      <c r="F78" t="inlineStr">
        <is>
          <t>ÖSTERGÖTLANDS LÄN</t>
        </is>
      </c>
      <c r="G78" t="inlineStr">
        <is>
          <t>SÖDERKÖPING</t>
        </is>
      </c>
      <c r="I78" t="n">
        <v>26.6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44979</v>
      </c>
      <c r="E79" s="1" t="n">
        <v>46297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46297</v>
      </c>
      <c r="F80" t="inlineStr">
        <is>
          <t>ÖSTERGÖTLANDS LÄN</t>
        </is>
      </c>
      <c r="G80" t="inlineStr">
        <is>
          <t>SÖDERKÖPING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46297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Kyrkan</t>
        </is>
      </c>
      <c r="I81" t="n">
        <v>11.7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46297</v>
      </c>
      <c r="F82" t="inlineStr">
        <is>
          <t>ÖSTERGÖTLANDS LÄN</t>
        </is>
      </c>
      <c r="G82" t="inlineStr">
        <is>
          <t>SÖDERKÖPING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46297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46297</v>
      </c>
      <c r="F84" t="inlineStr">
        <is>
          <t>ÖSTERGÖTLANDS LÄN</t>
        </is>
      </c>
      <c r="G84" t="inlineStr">
        <is>
          <t>SÖDERKÖPING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46297</v>
      </c>
      <c r="F85" t="inlineStr">
        <is>
          <t>ÖSTERGÖTLANDS LÄN</t>
        </is>
      </c>
      <c r="G85" t="inlineStr">
        <is>
          <t>SÖDERKÖPING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6669-2026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46056</v>
      </c>
      <c r="E86" s="1" t="n">
        <v>46297</v>
      </c>
      <c r="F86" t="inlineStr">
        <is>
          <t>ÖSTERGÖTLANDS LÄN</t>
        </is>
      </c>
      <c r="G86" t="inlineStr">
        <is>
          <t>SÖDERKÖPING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46297</v>
      </c>
      <c r="F87" t="inlineStr">
        <is>
          <t>ÖSTERGÖTLANDS LÄN</t>
        </is>
      </c>
      <c r="G87" t="inlineStr">
        <is>
          <t>SÖDERKÖPING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46297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Kyrkan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46297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46297</v>
      </c>
      <c r="F90" t="inlineStr">
        <is>
          <t>ÖSTERGÖTLANDS LÄN</t>
        </is>
      </c>
      <c r="G90" t="inlineStr">
        <is>
          <t>SÖDERKÖPING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7852-2026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46062</v>
      </c>
      <c r="E91" s="1" t="n">
        <v>46297</v>
      </c>
      <c r="F91" t="inlineStr">
        <is>
          <t>ÖSTERGÖTLANDS LÄN</t>
        </is>
      </c>
      <c r="G91" t="inlineStr">
        <is>
          <t>SÖDERKÖPING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46297</v>
      </c>
      <c r="F92" t="inlineStr">
        <is>
          <t>ÖSTERGÖTLANDS LÄN</t>
        </is>
      </c>
      <c r="G92" t="inlineStr">
        <is>
          <t>SÖDERKÖPING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46297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46061</v>
      </c>
      <c r="E94" s="1" t="n">
        <v>46297</v>
      </c>
      <c r="F94" t="inlineStr">
        <is>
          <t>ÖSTERGÖTLANDS LÄN</t>
        </is>
      </c>
      <c r="G94" t="inlineStr">
        <is>
          <t>SÖDERKÖPING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46297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46297</v>
      </c>
      <c r="F96" t="inlineStr">
        <is>
          <t>ÖSTERGÖTLANDS LÄN</t>
        </is>
      </c>
      <c r="G96" t="inlineStr">
        <is>
          <t>SÖDERKÖPING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45685</v>
      </c>
      <c r="E97" s="1" t="n">
        <v>46297</v>
      </c>
      <c r="F97" t="inlineStr">
        <is>
          <t>ÖSTERGÖTLANDS LÄN</t>
        </is>
      </c>
      <c r="G97" t="inlineStr">
        <is>
          <t>SÖDERKÖPING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46297</v>
      </c>
      <c r="F98" t="inlineStr">
        <is>
          <t>ÖSTERGÖTLANDS LÄN</t>
        </is>
      </c>
      <c r="G98" t="inlineStr">
        <is>
          <t>SÖDERKÖPING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46297</v>
      </c>
      <c r="F99" t="inlineStr">
        <is>
          <t>ÖSTERGÖTLANDS LÄN</t>
        </is>
      </c>
      <c r="G99" t="inlineStr">
        <is>
          <t>SÖDERKÖPING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46297</v>
      </c>
      <c r="F100" t="inlineStr">
        <is>
          <t>ÖSTERGÖTLANDS LÄN</t>
        </is>
      </c>
      <c r="G100" t="inlineStr">
        <is>
          <t>SÖDERKÖPING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46297</v>
      </c>
      <c r="F101" t="inlineStr">
        <is>
          <t>ÖSTERGÖTLANDS LÄN</t>
        </is>
      </c>
      <c r="G101" t="inlineStr">
        <is>
          <t>SÖDERKÖPING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46297</v>
      </c>
      <c r="F102" t="inlineStr">
        <is>
          <t>ÖSTERGÖTLANDS LÄN</t>
        </is>
      </c>
      <c r="G102" t="inlineStr">
        <is>
          <t>SÖDERKÖPING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46297</v>
      </c>
      <c r="F103" t="inlineStr">
        <is>
          <t>ÖSTERGÖTLANDS LÄN</t>
        </is>
      </c>
      <c r="G103" t="inlineStr">
        <is>
          <t>SÖDERKÖPING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46297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46297</v>
      </c>
      <c r="F105" t="inlineStr">
        <is>
          <t>ÖSTERGÖTLANDS LÄN</t>
        </is>
      </c>
      <c r="G105" t="inlineStr">
        <is>
          <t>SÖDERKÖPING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46297</v>
      </c>
      <c r="F106" t="inlineStr">
        <is>
          <t>ÖSTERGÖTLANDS LÄN</t>
        </is>
      </c>
      <c r="G106" t="inlineStr">
        <is>
          <t>SÖDERKÖPING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46297</v>
      </c>
      <c r="F107" t="inlineStr">
        <is>
          <t>ÖSTERGÖTLANDS LÄN</t>
        </is>
      </c>
      <c r="G107" t="inlineStr">
        <is>
          <t>SÖDERKÖPING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46297</v>
      </c>
      <c r="F108" t="inlineStr">
        <is>
          <t>ÖSTERGÖTLANDS LÄN</t>
        </is>
      </c>
      <c r="G108" t="inlineStr">
        <is>
          <t>SÖDERKÖPING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46297</v>
      </c>
      <c r="F109" t="inlineStr">
        <is>
          <t>ÖSTERGÖTLANDS LÄN</t>
        </is>
      </c>
      <c r="G109" t="inlineStr">
        <is>
          <t>SÖDERKÖPING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11005-2026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46079</v>
      </c>
      <c r="E110" s="1" t="n">
        <v>46297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Kyrkan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46297</v>
      </c>
      <c r="F111" t="inlineStr">
        <is>
          <t>ÖSTERGÖTLANDS LÄN</t>
        </is>
      </c>
      <c r="G111" t="inlineStr">
        <is>
          <t>SÖDERKÖPING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45546</v>
      </c>
      <c r="E112" s="1" t="n">
        <v>46297</v>
      </c>
      <c r="F112" t="inlineStr">
        <is>
          <t>ÖSTERGÖTLANDS LÄN</t>
        </is>
      </c>
      <c r="G112" t="inlineStr">
        <is>
          <t>SÖDERKÖPING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55853-2022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46297</v>
      </c>
      <c r="F113" t="inlineStr">
        <is>
          <t>ÖSTERGÖTLANDS LÄN</t>
        </is>
      </c>
      <c r="G113" t="inlineStr">
        <is>
          <t>SÖDERKÖPING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46297</v>
      </c>
      <c r="F114" t="inlineStr">
        <is>
          <t>ÖSTERGÖTLANDS LÄN</t>
        </is>
      </c>
      <c r="G114" t="inlineStr">
        <is>
          <t>SÖDERKÖPING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11616-2026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46084</v>
      </c>
      <c r="E115" s="1" t="n">
        <v>46297</v>
      </c>
      <c r="F115" t="inlineStr">
        <is>
          <t>ÖSTERGÖTLANDS LÄN</t>
        </is>
      </c>
      <c r="G115" t="inlineStr">
        <is>
          <t>SÖDERKÖPING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46084</v>
      </c>
      <c r="E116" s="1" t="n">
        <v>46297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44911</v>
      </c>
      <c r="E117" s="1" t="n">
        <v>46297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Allmännings- och besparingsskogar</t>
        </is>
      </c>
      <c r="I117" t="n">
        <v>10.8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46297</v>
      </c>
      <c r="F118" t="inlineStr">
        <is>
          <t>ÖSTERGÖTLANDS LÄN</t>
        </is>
      </c>
      <c r="G118" t="inlineStr">
        <is>
          <t>SÖDERKÖPING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46297</v>
      </c>
      <c r="F119" t="inlineStr">
        <is>
          <t>ÖSTERGÖTLANDS LÄN</t>
        </is>
      </c>
      <c r="G119" t="inlineStr">
        <is>
          <t>SÖDERKÖPING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46297</v>
      </c>
      <c r="F120" t="inlineStr">
        <is>
          <t>ÖSTERGÖTLANDS LÄN</t>
        </is>
      </c>
      <c r="G120" t="inlineStr">
        <is>
          <t>SÖDERKÖPING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14777-2026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46297</v>
      </c>
      <c r="F121" t="inlineStr">
        <is>
          <t>ÖSTERGÖTLANDS LÄN</t>
        </is>
      </c>
      <c r="G121" t="inlineStr">
        <is>
          <t>SÖDERKÖPING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14776-2026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46101</v>
      </c>
      <c r="E122" s="1" t="n">
        <v>46297</v>
      </c>
      <c r="F122" t="inlineStr">
        <is>
          <t>ÖSTERGÖTLANDS LÄN</t>
        </is>
      </c>
      <c r="G122" t="inlineStr">
        <is>
          <t>SÖDERKÖPING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46297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45961</v>
      </c>
      <c r="E124" s="1" t="n">
        <v>46297</v>
      </c>
      <c r="F124" t="inlineStr">
        <is>
          <t>ÖSTERGÖTLANDS LÄN</t>
        </is>
      </c>
      <c r="G124" t="inlineStr">
        <is>
          <t>SÖDERKÖPING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46297</v>
      </c>
      <c r="F125" t="inlineStr">
        <is>
          <t>ÖSTERGÖTLANDS LÄN</t>
        </is>
      </c>
      <c r="G125" t="inlineStr">
        <is>
          <t>SÖDERKÖPING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46297</v>
      </c>
      <c r="F126" t="inlineStr">
        <is>
          <t>ÖSTERGÖTLANDS LÄN</t>
        </is>
      </c>
      <c r="G126" t="inlineStr">
        <is>
          <t>SÖDERKÖPING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46297</v>
      </c>
      <c r="F127" t="inlineStr">
        <is>
          <t>ÖSTERGÖTLANDS LÄN</t>
        </is>
      </c>
      <c r="G127" t="inlineStr">
        <is>
          <t>SÖDERKÖPING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46297</v>
      </c>
      <c r="F128" t="inlineStr">
        <is>
          <t>ÖSTERGÖTLANDS LÄN</t>
        </is>
      </c>
      <c r="G128" t="inlineStr">
        <is>
          <t>SÖDERKÖPING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46297</v>
      </c>
      <c r="F129" t="inlineStr">
        <is>
          <t>ÖSTERGÖTLANDS LÄN</t>
        </is>
      </c>
      <c r="G129" t="inlineStr">
        <is>
          <t>SÖDERKÖPING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46297</v>
      </c>
      <c r="F130" t="inlineStr">
        <is>
          <t>ÖSTERGÖTLANDS LÄN</t>
        </is>
      </c>
      <c r="G130" t="inlineStr">
        <is>
          <t>SÖDERKÖPING</t>
        </is>
      </c>
      <c r="I130" t="n">
        <v>4.7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44994</v>
      </c>
      <c r="E131" s="1" t="n">
        <v>46297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44572</v>
      </c>
      <c r="E132" s="1" t="n">
        <v>46297</v>
      </c>
      <c r="F132" t="inlineStr">
        <is>
          <t>ÖSTERGÖTLANDS LÄN</t>
        </is>
      </c>
      <c r="G132" t="inlineStr">
        <is>
          <t>SÖDERKÖPING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44736</v>
      </c>
      <c r="E133" s="1" t="n">
        <v>46297</v>
      </c>
      <c r="F133" t="inlineStr">
        <is>
          <t>ÖSTERGÖTLANDS LÄN</t>
        </is>
      </c>
      <c r="G133" t="inlineStr">
        <is>
          <t>SÖDERKÖPING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45817</v>
      </c>
      <c r="E134" s="1" t="n">
        <v>46297</v>
      </c>
      <c r="F134" t="inlineStr">
        <is>
          <t>ÖSTERGÖTLANDS LÄN</t>
        </is>
      </c>
      <c r="G134" t="inlineStr">
        <is>
          <t>SÖDERKÖPING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45817</v>
      </c>
      <c r="E135" s="1" t="n">
        <v>46297</v>
      </c>
      <c r="F135" t="inlineStr">
        <is>
          <t>ÖSTERGÖTLANDS LÄN</t>
        </is>
      </c>
      <c r="G135" t="inlineStr">
        <is>
          <t>SÖDERKÖPING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46297</v>
      </c>
      <c r="F136" t="inlineStr">
        <is>
          <t>ÖSTERGÖTLANDS LÄN</t>
        </is>
      </c>
      <c r="G136" t="inlineStr">
        <is>
          <t>SÖDERKÖPING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45293</v>
      </c>
      <c r="E137" s="1" t="n">
        <v>46297</v>
      </c>
      <c r="F137" t="inlineStr">
        <is>
          <t>ÖSTERGÖTLANDS LÄN</t>
        </is>
      </c>
      <c r="G137" t="inlineStr">
        <is>
          <t>SÖDERKÖPING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45736</v>
      </c>
      <c r="E138" s="1" t="n">
        <v>46297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Holmen skog AB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46297</v>
      </c>
      <c r="F139" t="inlineStr">
        <is>
          <t>ÖSTERGÖTLANDS LÄN</t>
        </is>
      </c>
      <c r="G139" t="inlineStr">
        <is>
          <t>SÖDERKÖPING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46297</v>
      </c>
      <c r="F140" t="inlineStr">
        <is>
          <t>ÖSTERGÖTLANDS LÄN</t>
        </is>
      </c>
      <c r="G140" t="inlineStr">
        <is>
          <t>SÖDERKÖPING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46297</v>
      </c>
      <c r="F141" t="inlineStr">
        <is>
          <t>ÖSTERGÖTLANDS LÄN</t>
        </is>
      </c>
      <c r="G141" t="inlineStr">
        <is>
          <t>SÖDERKÖPING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46297</v>
      </c>
      <c r="F142" t="inlineStr">
        <is>
          <t>ÖSTERGÖTLANDS LÄN</t>
        </is>
      </c>
      <c r="G142" t="inlineStr">
        <is>
          <t>SÖDERKÖPING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46297</v>
      </c>
      <c r="F143" t="inlineStr">
        <is>
          <t>ÖSTERGÖTLANDS LÄN</t>
        </is>
      </c>
      <c r="G143" t="inlineStr">
        <is>
          <t>SÖDERKÖPING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46297</v>
      </c>
      <c r="F144" t="inlineStr">
        <is>
          <t>ÖSTERGÖTLANDS LÄN</t>
        </is>
      </c>
      <c r="G144" t="inlineStr">
        <is>
          <t>SÖDERKÖPING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46297</v>
      </c>
      <c r="F145" t="inlineStr">
        <is>
          <t>ÖSTERGÖTLANDS LÄN</t>
        </is>
      </c>
      <c r="G145" t="inlineStr">
        <is>
          <t>SÖDERKÖPING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46297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46297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46297</v>
      </c>
      <c r="F148" t="inlineStr">
        <is>
          <t>ÖSTERGÖTLANDS LÄN</t>
        </is>
      </c>
      <c r="G148" t="inlineStr">
        <is>
          <t>SÖDERKÖPING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46297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46297</v>
      </c>
      <c r="F150" t="inlineStr">
        <is>
          <t>ÖSTERGÖTLANDS LÄN</t>
        </is>
      </c>
      <c r="G150" t="inlineStr">
        <is>
          <t>SÖDERKÖPING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46297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46297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45756</v>
      </c>
      <c r="E153" s="1" t="n">
        <v>46297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45663</v>
      </c>
      <c r="E154" s="1" t="n">
        <v>46297</v>
      </c>
      <c r="F154" t="inlineStr">
        <is>
          <t>ÖSTERGÖTLANDS LÄN</t>
        </is>
      </c>
      <c r="G154" t="inlineStr">
        <is>
          <t>SÖDERKÖPING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32641-2025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46297</v>
      </c>
      <c r="F155" t="inlineStr">
        <is>
          <t>ÖSTERGÖTLANDS LÄN</t>
        </is>
      </c>
      <c r="G155" t="inlineStr">
        <is>
          <t>SÖDERKÖPING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26058-2022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46297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46297</v>
      </c>
      <c r="F157" t="inlineStr">
        <is>
          <t>ÖSTERGÖTLANDS LÄN</t>
        </is>
      </c>
      <c r="G157" t="inlineStr">
        <is>
          <t>SÖDERKÖPING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44798</v>
      </c>
      <c r="E158" s="1" t="n">
        <v>46297</v>
      </c>
      <c r="F158" t="inlineStr">
        <is>
          <t>ÖSTERGÖTLANDS LÄN</t>
        </is>
      </c>
      <c r="G158" t="inlineStr">
        <is>
          <t>SÖDERKÖPING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45782</v>
      </c>
      <c r="E159" s="1" t="n">
        <v>46297</v>
      </c>
      <c r="F159" t="inlineStr">
        <is>
          <t>ÖSTERGÖTLANDS LÄN</t>
        </is>
      </c>
      <c r="G159" t="inlineStr">
        <is>
          <t>SÖDERKÖPING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60160-2021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44495</v>
      </c>
      <c r="E160" s="1" t="n">
        <v>46297</v>
      </c>
      <c r="F160" t="inlineStr">
        <is>
          <t>ÖSTERGÖTLANDS LÄN</t>
        </is>
      </c>
      <c r="G160" t="inlineStr">
        <is>
          <t>SÖDERKÖPING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46003</v>
      </c>
      <c r="E161" s="1" t="n">
        <v>46297</v>
      </c>
      <c r="F161" t="inlineStr">
        <is>
          <t>ÖSTERGÖTLANDS LÄN</t>
        </is>
      </c>
      <c r="G161" t="inlineStr">
        <is>
          <t>SÖDERKÖPING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46297</v>
      </c>
      <c r="F162" t="inlineStr">
        <is>
          <t>ÖSTERGÖTLANDS LÄN</t>
        </is>
      </c>
      <c r="G162" t="inlineStr">
        <is>
          <t>SÖDERKÖPING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46297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46297</v>
      </c>
      <c r="F164" t="inlineStr">
        <is>
          <t>ÖSTERGÖTLANDS LÄN</t>
        </is>
      </c>
      <c r="G164" t="inlineStr">
        <is>
          <t>SÖDERKÖPING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46297</v>
      </c>
      <c r="F165" t="inlineStr">
        <is>
          <t>ÖSTERGÖTLANDS LÄN</t>
        </is>
      </c>
      <c r="G165" t="inlineStr">
        <is>
          <t>SÖDERKÖPING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46297</v>
      </c>
      <c r="F166" t="inlineStr">
        <is>
          <t>ÖSTERGÖTLANDS LÄN</t>
        </is>
      </c>
      <c r="G166" t="inlineStr">
        <is>
          <t>SÖDERKÖPING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46297</v>
      </c>
      <c r="F167" t="inlineStr">
        <is>
          <t>ÖSTERGÖTLANDS LÄN</t>
        </is>
      </c>
      <c r="G167" t="inlineStr">
        <is>
          <t>SÖDERKÖPING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46297</v>
      </c>
      <c r="F168" t="inlineStr">
        <is>
          <t>ÖSTERGÖTLANDS LÄN</t>
        </is>
      </c>
      <c r="G168" t="inlineStr">
        <is>
          <t>SÖDERKÖPING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46297</v>
      </c>
      <c r="F169" t="inlineStr">
        <is>
          <t>ÖSTERGÖTLANDS LÄN</t>
        </is>
      </c>
      <c r="G169" t="inlineStr">
        <is>
          <t>SÖDERKÖPING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46297</v>
      </c>
      <c r="F170" t="inlineStr">
        <is>
          <t>ÖSTERGÖTLANDS LÄN</t>
        </is>
      </c>
      <c r="G170" t="inlineStr">
        <is>
          <t>SÖDERKÖPING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45751</v>
      </c>
      <c r="E171" s="1" t="n">
        <v>46297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45849</v>
      </c>
      <c r="E172" s="1" t="n">
        <v>46297</v>
      </c>
      <c r="F172" t="inlineStr">
        <is>
          <t>ÖSTERGÖTLANDS LÄN</t>
        </is>
      </c>
      <c r="G172" t="inlineStr">
        <is>
          <t>SÖDERKÖPING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45849</v>
      </c>
      <c r="E173" s="1" t="n">
        <v>46297</v>
      </c>
      <c r="F173" t="inlineStr">
        <is>
          <t>ÖSTERGÖTLANDS LÄN</t>
        </is>
      </c>
      <c r="G173" t="inlineStr">
        <is>
          <t>SÖDERKÖPING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45190</v>
      </c>
      <c r="E174" s="1" t="n">
        <v>46297</v>
      </c>
      <c r="F174" t="inlineStr">
        <is>
          <t>ÖSTERGÖTLANDS LÄN</t>
        </is>
      </c>
      <c r="G174" t="inlineStr">
        <is>
          <t>SÖDERKÖPING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46297</v>
      </c>
      <c r="F175" t="inlineStr">
        <is>
          <t>ÖSTERGÖTLANDS LÄN</t>
        </is>
      </c>
      <c r="G175" t="inlineStr">
        <is>
          <t>SÖDERKÖPING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46297</v>
      </c>
      <c r="F176" t="inlineStr">
        <is>
          <t>ÖSTERGÖTLANDS LÄN</t>
        </is>
      </c>
      <c r="G176" t="inlineStr">
        <is>
          <t>SÖDERKÖPING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46297</v>
      </c>
      <c r="F177" t="inlineStr">
        <is>
          <t>ÖSTERGÖTLANDS LÄN</t>
        </is>
      </c>
      <c r="G177" t="inlineStr">
        <is>
          <t>SÖDERKÖPING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20221-2023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45055</v>
      </c>
      <c r="E178" s="1" t="n">
        <v>46297</v>
      </c>
      <c r="F178" t="inlineStr">
        <is>
          <t>ÖSTERGÖTLANDS LÄN</t>
        </is>
      </c>
      <c r="G178" t="inlineStr">
        <is>
          <t>SÖDERKÖPING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46297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44865</v>
      </c>
      <c r="E180" s="1" t="n">
        <v>46297</v>
      </c>
      <c r="F180" t="inlineStr">
        <is>
          <t>ÖSTERGÖTLANDS LÄN</t>
        </is>
      </c>
      <c r="G180" t="inlineStr">
        <is>
          <t>SÖDERKÖPING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45876</v>
      </c>
      <c r="E181" s="1" t="n">
        <v>46297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46297</v>
      </c>
      <c r="F182" t="inlineStr">
        <is>
          <t>ÖSTERGÖTLANDS LÄN</t>
        </is>
      </c>
      <c r="G182" t="inlineStr">
        <is>
          <t>SÖDERKÖPING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46297</v>
      </c>
      <c r="F183" t="inlineStr">
        <is>
          <t>ÖSTERGÖTLANDS LÄN</t>
        </is>
      </c>
      <c r="G183" t="inlineStr">
        <is>
          <t>SÖDERKÖPING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20703-2026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46297</v>
      </c>
      <c r="F184" t="inlineStr">
        <is>
          <t>ÖSTERGÖTLANDS LÄN</t>
        </is>
      </c>
      <c r="G184" t="inlineStr">
        <is>
          <t>SÖDERKÖPING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46297</v>
      </c>
      <c r="F185" t="inlineStr">
        <is>
          <t>ÖSTERGÖTLANDS LÄN</t>
        </is>
      </c>
      <c r="G185" t="inlineStr">
        <is>
          <t>SÖDERKÖPING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46297</v>
      </c>
      <c r="F186" t="inlineStr">
        <is>
          <t>ÖSTERGÖTLANDS LÄN</t>
        </is>
      </c>
      <c r="G186" t="inlineStr">
        <is>
          <t>SÖDERKÖPING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45849</v>
      </c>
      <c r="E187" s="1" t="n">
        <v>46297</v>
      </c>
      <c r="F187" t="inlineStr">
        <is>
          <t>ÖSTERGÖTLANDS LÄN</t>
        </is>
      </c>
      <c r="G187" t="inlineStr">
        <is>
          <t>SÖDERKÖPING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45426</v>
      </c>
      <c r="E188" s="1" t="n">
        <v>46297</v>
      </c>
      <c r="F188" t="inlineStr">
        <is>
          <t>ÖSTERGÖTLANDS LÄN</t>
        </is>
      </c>
      <c r="G188" t="inlineStr">
        <is>
          <t>SÖDERKÖPING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46297</v>
      </c>
      <c r="F189" t="inlineStr">
        <is>
          <t>ÖSTERGÖTLANDS LÄN</t>
        </is>
      </c>
      <c r="G189" t="inlineStr">
        <is>
          <t>SÖDERKÖPING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46297</v>
      </c>
      <c r="F190" t="inlineStr">
        <is>
          <t>ÖSTERGÖTLANDS LÄN</t>
        </is>
      </c>
      <c r="G190" t="inlineStr">
        <is>
          <t>SÖDERKÖPING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46297</v>
      </c>
      <c r="F191" t="inlineStr">
        <is>
          <t>ÖSTERGÖTLANDS LÄN</t>
        </is>
      </c>
      <c r="G191" t="inlineStr">
        <is>
          <t>SÖDERKÖPING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13792-2025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46297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Holmen skog AB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46297</v>
      </c>
      <c r="F193" t="inlineStr">
        <is>
          <t>ÖSTERGÖTLANDS LÄN</t>
        </is>
      </c>
      <c r="G193" t="inlineStr">
        <is>
          <t>SÖDERKÖPING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46297</v>
      </c>
      <c r="F194" t="inlineStr">
        <is>
          <t>ÖSTERGÖTLANDS LÄN</t>
        </is>
      </c>
      <c r="G194" t="inlineStr">
        <is>
          <t>SÖDERKÖPING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66075-2021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44517</v>
      </c>
      <c r="E195" s="1" t="n">
        <v>46297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Kyrkan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45684</v>
      </c>
      <c r="E196" s="1" t="n">
        <v>46297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46297</v>
      </c>
      <c r="F197" t="inlineStr">
        <is>
          <t>ÖSTERGÖTLANDS LÄN</t>
        </is>
      </c>
      <c r="G197" t="inlineStr">
        <is>
          <t>SÖDERKÖPING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46297</v>
      </c>
      <c r="F198" t="inlineStr">
        <is>
          <t>ÖSTERGÖTLANDS LÄN</t>
        </is>
      </c>
      <c r="G198" t="inlineStr">
        <is>
          <t>SÖDERKÖPING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46297</v>
      </c>
      <c r="F199" t="inlineStr">
        <is>
          <t>ÖSTERGÖTLANDS LÄN</t>
        </is>
      </c>
      <c r="G199" t="inlineStr">
        <is>
          <t>SÖDERKÖPING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46297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46297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44966</v>
      </c>
      <c r="E202" s="1" t="n">
        <v>46297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46297</v>
      </c>
      <c r="F203" t="inlineStr">
        <is>
          <t>ÖSTERGÖTLANDS LÄN</t>
        </is>
      </c>
      <c r="G203" t="inlineStr">
        <is>
          <t>SÖDERKÖPING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46297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44964</v>
      </c>
      <c r="E205" s="1" t="n">
        <v>46297</v>
      </c>
      <c r="F205" t="inlineStr">
        <is>
          <t>ÖSTERGÖTLANDS LÄN</t>
        </is>
      </c>
      <c r="G205" t="inlineStr">
        <is>
          <t>SÖDERKÖPING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42358-2023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45180</v>
      </c>
      <c r="E206" s="1" t="n">
        <v>46297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Allmännings- och besparingsskogar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46297</v>
      </c>
      <c r="F207" t="inlineStr">
        <is>
          <t>ÖSTERGÖTLANDS LÄN</t>
        </is>
      </c>
      <c r="G207" t="inlineStr">
        <is>
          <t>SÖDERKÖPING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45174</v>
      </c>
      <c r="E208" s="1" t="n">
        <v>46297</v>
      </c>
      <c r="F208" t="inlineStr">
        <is>
          <t>ÖSTERGÖTLANDS LÄN</t>
        </is>
      </c>
      <c r="G208" t="inlineStr">
        <is>
          <t>SÖDERKÖPING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45399</v>
      </c>
      <c r="E209" s="1" t="n">
        <v>46297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46297</v>
      </c>
      <c r="F210" t="inlineStr">
        <is>
          <t>ÖSTERGÖTLANDS LÄN</t>
        </is>
      </c>
      <c r="G210" t="inlineStr">
        <is>
          <t>SÖDERKÖPING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22208-2026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46153</v>
      </c>
      <c r="E211" s="1" t="n">
        <v>46297</v>
      </c>
      <c r="F211" t="inlineStr">
        <is>
          <t>ÖSTERGÖTLANDS LÄN</t>
        </is>
      </c>
      <c r="G211" t="inlineStr">
        <is>
          <t>SÖDERKÖPING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46297</v>
      </c>
      <c r="F212" t="inlineStr">
        <is>
          <t>ÖSTERGÖTLANDS LÄN</t>
        </is>
      </c>
      <c r="G212" t="inlineStr">
        <is>
          <t>SÖDERKÖPING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46297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44813</v>
      </c>
      <c r="E214" s="1" t="n">
        <v>46297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46297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46297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46297</v>
      </c>
      <c r="F217" t="inlineStr">
        <is>
          <t>ÖSTERGÖTLANDS LÄN</t>
        </is>
      </c>
      <c r="G217" t="inlineStr">
        <is>
          <t>SÖDERKÖPING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46297</v>
      </c>
      <c r="F218" t="inlineStr">
        <is>
          <t>ÖSTERGÖTLANDS LÄN</t>
        </is>
      </c>
      <c r="G218" t="inlineStr">
        <is>
          <t>SÖDERKÖPING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46297</v>
      </c>
      <c r="F219" t="inlineStr">
        <is>
          <t>ÖSTERGÖTLANDS LÄN</t>
        </is>
      </c>
      <c r="G219" t="inlineStr">
        <is>
          <t>SÖDERKÖPING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46297</v>
      </c>
      <c r="F220" t="inlineStr">
        <is>
          <t>ÖSTERGÖTLANDS LÄN</t>
        </is>
      </c>
      <c r="G220" t="inlineStr">
        <is>
          <t>SÖDERKÖPING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46297</v>
      </c>
      <c r="F221" t="inlineStr">
        <is>
          <t>ÖSTERGÖTLANDS LÄN</t>
        </is>
      </c>
      <c r="G221" t="inlineStr">
        <is>
          <t>SÖDERKÖPING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26439-2026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46183</v>
      </c>
      <c r="E222" s="1" t="n">
        <v>46297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46297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Holmen skog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46297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46297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46297</v>
      </c>
      <c r="F226" t="inlineStr">
        <is>
          <t>ÖSTERGÖTLANDS LÄN</t>
        </is>
      </c>
      <c r="G226" t="inlineStr">
        <is>
          <t>SÖDERKÖPING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46297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46297</v>
      </c>
      <c r="F228" t="inlineStr">
        <is>
          <t>ÖSTERGÖTLANDS LÄN</t>
        </is>
      </c>
      <c r="G228" t="inlineStr">
        <is>
          <t>SÖDERKÖPING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45667</v>
      </c>
      <c r="E229" s="1" t="n">
        <v>46297</v>
      </c>
      <c r="F229" t="inlineStr">
        <is>
          <t>ÖSTERGÖTLANDS LÄN</t>
        </is>
      </c>
      <c r="G229" t="inlineStr">
        <is>
          <t>SÖDERKÖPING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46297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46297</v>
      </c>
      <c r="F231" t="inlineStr">
        <is>
          <t>ÖSTERGÖTLANDS LÄN</t>
        </is>
      </c>
      <c r="G231" t="inlineStr">
        <is>
          <t>SÖDERKÖPING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45055</v>
      </c>
      <c r="E232" s="1" t="n">
        <v>46297</v>
      </c>
      <c r="F232" t="inlineStr">
        <is>
          <t>ÖSTERGÖTLANDS LÄN</t>
        </is>
      </c>
      <c r="G232" t="inlineStr">
        <is>
          <t>SÖDERKÖPING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46196</v>
      </c>
      <c r="E233" s="1" t="n">
        <v>46297</v>
      </c>
      <c r="F233" t="inlineStr">
        <is>
          <t>ÖSTERGÖTLANDS LÄN</t>
        </is>
      </c>
      <c r="G233" t="inlineStr">
        <is>
          <t>SÖDERKÖPING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45092</v>
      </c>
      <c r="E234" s="1" t="n">
        <v>46297</v>
      </c>
      <c r="F234" t="inlineStr">
        <is>
          <t>ÖSTERGÖTLANDS LÄN</t>
        </is>
      </c>
      <c r="G234" t="inlineStr">
        <is>
          <t>SÖDERKÖPING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46297</v>
      </c>
      <c r="F235" t="inlineStr">
        <is>
          <t>ÖSTERGÖTLANDS LÄN</t>
        </is>
      </c>
      <c r="G235" t="inlineStr">
        <is>
          <t>SÖDERKÖPING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46297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Kyrkan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45119</v>
      </c>
      <c r="E237" s="1" t="n">
        <v>46297</v>
      </c>
      <c r="F237" t="inlineStr">
        <is>
          <t>ÖSTERGÖTLANDS LÄN</t>
        </is>
      </c>
      <c r="G237" t="inlineStr">
        <is>
          <t>SÖDERKÖPING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45190</v>
      </c>
      <c r="E238" s="1" t="n">
        <v>46297</v>
      </c>
      <c r="F238" t="inlineStr">
        <is>
          <t>ÖSTERGÖTLANDS LÄN</t>
        </is>
      </c>
      <c r="G238" t="inlineStr">
        <is>
          <t>SÖDERKÖPING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46297</v>
      </c>
      <c r="F239" t="inlineStr">
        <is>
          <t>ÖSTERGÖTLANDS LÄN</t>
        </is>
      </c>
      <c r="G239" t="inlineStr">
        <is>
          <t>SÖDERKÖPING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45701</v>
      </c>
      <c r="E240" s="1" t="n">
        <v>46297</v>
      </c>
      <c r="F240" t="inlineStr">
        <is>
          <t>ÖSTERGÖTLANDS LÄN</t>
        </is>
      </c>
      <c r="G240" t="inlineStr">
        <is>
          <t>SÖDERKÖPING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44618</v>
      </c>
      <c r="E241" s="1" t="n">
        <v>46297</v>
      </c>
      <c r="F241" t="inlineStr">
        <is>
          <t>ÖSTERGÖTLANDS LÄN</t>
        </is>
      </c>
      <c r="G241" t="inlineStr">
        <is>
          <t>SÖDERKÖPING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44711</v>
      </c>
      <c r="E242" s="1" t="n">
        <v>46297</v>
      </c>
      <c r="F242" t="inlineStr">
        <is>
          <t>ÖSTERGÖTLANDS LÄN</t>
        </is>
      </c>
      <c r="G242" t="inlineStr">
        <is>
          <t>SÖDERKÖPING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46297</v>
      </c>
      <c r="F243" t="inlineStr">
        <is>
          <t>ÖSTERGÖTLANDS LÄN</t>
        </is>
      </c>
      <c r="G243" t="inlineStr">
        <is>
          <t>SÖDERKÖPING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46297</v>
      </c>
      <c r="F244" t="inlineStr">
        <is>
          <t>ÖSTERGÖTLANDS LÄN</t>
        </is>
      </c>
      <c r="G244" t="inlineStr">
        <is>
          <t>SÖDERKÖPING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45684</v>
      </c>
      <c r="E245" s="1" t="n">
        <v>46297</v>
      </c>
      <c r="F245" t="inlineStr">
        <is>
          <t>ÖSTERGÖTLANDS LÄN</t>
        </is>
      </c>
      <c r="G245" t="inlineStr">
        <is>
          <t>SÖDERKÖPING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45174</v>
      </c>
      <c r="E246" s="1" t="n">
        <v>46297</v>
      </c>
      <c r="F246" t="inlineStr">
        <is>
          <t>ÖSTERGÖTLANDS LÄN</t>
        </is>
      </c>
      <c r="G246" t="inlineStr">
        <is>
          <t>SÖDERKÖPING</t>
        </is>
      </c>
      <c r="I246" t="n">
        <v>15.3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46297</v>
      </c>
      <c r="F247" t="inlineStr">
        <is>
          <t>ÖSTERGÖTLANDS LÄN</t>
        </is>
      </c>
      <c r="G247" t="inlineStr">
        <is>
          <t>SÖDERKÖPING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46297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Holmen skog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46297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46297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45187</v>
      </c>
      <c r="E251" s="1" t="n">
        <v>46297</v>
      </c>
      <c r="F251" t="inlineStr">
        <is>
          <t>ÖSTERGÖTLANDS LÄN</t>
        </is>
      </c>
      <c r="G251" t="inlineStr">
        <is>
          <t>SÖDERKÖPING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45169</v>
      </c>
      <c r="E252" s="1" t="n">
        <v>46297</v>
      </c>
      <c r="F252" t="inlineStr">
        <is>
          <t>ÖSTERGÖTLANDS LÄN</t>
        </is>
      </c>
      <c r="G252" t="inlineStr">
        <is>
          <t>SÖDERKÖPING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46297</v>
      </c>
      <c r="F253" t="inlineStr">
        <is>
          <t>ÖSTERGÖTLANDS LÄN</t>
        </is>
      </c>
      <c r="G253" t="inlineStr">
        <is>
          <t>SÖDERKÖPING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46297</v>
      </c>
      <c r="F254" t="inlineStr">
        <is>
          <t>ÖSTERGÖTLANDS LÄN</t>
        </is>
      </c>
      <c r="G254" t="inlineStr">
        <is>
          <t>SÖDERKÖPING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46297</v>
      </c>
      <c r="F255" t="inlineStr">
        <is>
          <t>ÖSTERGÖTLANDS LÄN</t>
        </is>
      </c>
      <c r="G255" t="inlineStr">
        <is>
          <t>SÖDERKÖPING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46297</v>
      </c>
      <c r="F256" t="inlineStr">
        <is>
          <t>ÖSTERGÖTLANDS LÄN</t>
        </is>
      </c>
      <c r="G256" t="inlineStr">
        <is>
          <t>SÖDERKÖPING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24726-2026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46297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29660-2022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44754</v>
      </c>
      <c r="E258" s="1" t="n">
        <v>46297</v>
      </c>
      <c r="F258" t="inlineStr">
        <is>
          <t>ÖSTERGÖTLANDS LÄN</t>
        </is>
      </c>
      <c r="G258" t="inlineStr">
        <is>
          <t>SÖDERKÖPING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45297</v>
      </c>
      <c r="E259" s="1" t="n">
        <v>46297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46219</v>
      </c>
      <c r="E260" s="1" t="n">
        <v>46297</v>
      </c>
      <c r="F260" t="inlineStr">
        <is>
          <t>ÖSTERGÖTLANDS LÄN</t>
        </is>
      </c>
      <c r="G260" t="inlineStr">
        <is>
          <t>SÖDERKÖPING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46297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45254</v>
      </c>
      <c r="E262" s="1" t="n">
        <v>46297</v>
      </c>
      <c r="F262" t="inlineStr">
        <is>
          <t>ÖSTERGÖTLANDS LÄN</t>
        </is>
      </c>
      <c r="G262" t="inlineStr">
        <is>
          <t>SÖDERKÖPING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45265</v>
      </c>
      <c r="E263" s="1" t="n">
        <v>46297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46297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54787-2022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46297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46227</v>
      </c>
      <c r="E266" s="1" t="n">
        <v>46297</v>
      </c>
      <c r="F266" t="inlineStr">
        <is>
          <t>ÖSTERGÖTLANDS LÄN</t>
        </is>
      </c>
      <c r="G266" t="inlineStr">
        <is>
          <t>SÖDERKÖPING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45187</v>
      </c>
      <c r="E267" s="1" t="n">
        <v>46297</v>
      </c>
      <c r="F267" t="inlineStr">
        <is>
          <t>ÖSTERGÖTLANDS LÄN</t>
        </is>
      </c>
      <c r="G267" t="inlineStr">
        <is>
          <t>SÖDERKÖPING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44775</v>
      </c>
      <c r="E268" s="1" t="n">
        <v>46297</v>
      </c>
      <c r="F268" t="inlineStr">
        <is>
          <t>ÖSTERGÖTLANDS LÄN</t>
        </is>
      </c>
      <c r="G268" t="inlineStr">
        <is>
          <t>SÖDERKÖPING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46297</v>
      </c>
      <c r="F269" t="inlineStr">
        <is>
          <t>ÖSTERGÖTLANDS LÄN</t>
        </is>
      </c>
      <c r="G269" t="inlineStr">
        <is>
          <t>SÖDERKÖPING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46227</v>
      </c>
      <c r="E270" s="1" t="n">
        <v>46297</v>
      </c>
      <c r="F270" t="inlineStr">
        <is>
          <t>ÖSTERGÖTLANDS LÄN</t>
        </is>
      </c>
      <c r="G270" t="inlineStr">
        <is>
          <t>SÖDERKÖPING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46227</v>
      </c>
      <c r="E271" s="1" t="n">
        <v>46297</v>
      </c>
      <c r="F271" t="inlineStr">
        <is>
          <t>ÖSTERGÖTLANDS LÄN</t>
        </is>
      </c>
      <c r="G271" t="inlineStr">
        <is>
          <t>SÖDERKÖPING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45549-2023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45194</v>
      </c>
      <c r="E272" s="1" t="n">
        <v>46297</v>
      </c>
      <c r="F272" t="inlineStr">
        <is>
          <t>ÖSTERGÖTLANDS LÄN</t>
        </is>
      </c>
      <c r="G272" t="inlineStr">
        <is>
          <t>SÖDERKÖPING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44965</v>
      </c>
      <c r="E273" s="1" t="n">
        <v>46297</v>
      </c>
      <c r="F273" t="inlineStr">
        <is>
          <t>ÖSTERGÖTLANDS LÄN</t>
        </is>
      </c>
      <c r="G273" t="inlineStr">
        <is>
          <t>SÖDERKÖPING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46297</v>
      </c>
      <c r="F274" t="inlineStr">
        <is>
          <t>ÖSTERGÖTLANDS LÄN</t>
        </is>
      </c>
      <c r="G274" t="inlineStr">
        <is>
          <t>SÖDERKÖPING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69425-2021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46297</v>
      </c>
      <c r="F275" t="inlineStr">
        <is>
          <t>ÖSTERGÖTLANDS LÄN</t>
        </is>
      </c>
      <c r="G275" t="inlineStr">
        <is>
          <t>SÖDERKÖPING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64825-2023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46297</v>
      </c>
      <c r="F276" t="inlineStr">
        <is>
          <t>ÖSTERGÖTLANDS LÄN</t>
        </is>
      </c>
      <c r="G276" t="inlineStr">
        <is>
          <t>SÖDERKÖPING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46297</v>
      </c>
      <c r="F277" t="inlineStr">
        <is>
          <t>ÖSTERGÖTLANDS LÄN</t>
        </is>
      </c>
      <c r="G277" t="inlineStr">
        <is>
          <t>SÖDERKÖPING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46297</v>
      </c>
      <c r="F278" t="inlineStr">
        <is>
          <t>ÖSTERGÖTLANDS LÄN</t>
        </is>
      </c>
      <c r="G278" t="inlineStr">
        <is>
          <t>SÖDERKÖPING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46297</v>
      </c>
      <c r="F279" t="inlineStr">
        <is>
          <t>ÖSTERGÖTLANDS LÄN</t>
        </is>
      </c>
      <c r="G279" t="inlineStr">
        <is>
          <t>SÖDERKÖPING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66362-2021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44518</v>
      </c>
      <c r="E280" s="1" t="n">
        <v>46297</v>
      </c>
      <c r="F280" t="inlineStr">
        <is>
          <t>ÖSTERGÖTLANDS LÄN</t>
        </is>
      </c>
      <c r="G280" t="inlineStr">
        <is>
          <t>SÖDERKÖPING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46297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46297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29374-2022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46297</v>
      </c>
      <c r="F283" t="inlineStr">
        <is>
          <t>ÖSTERGÖTLANDS LÄN</t>
        </is>
      </c>
      <c r="G283" t="inlineStr">
        <is>
          <t>SÖDERKÖPING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49227-2022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44861</v>
      </c>
      <c r="E284" s="1" t="n">
        <v>46297</v>
      </c>
      <c r="F284" t="inlineStr">
        <is>
          <t>ÖSTERGÖTLANDS LÄN</t>
        </is>
      </c>
      <c r="G284" t="inlineStr">
        <is>
          <t>SÖDERKÖPING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46297</v>
      </c>
      <c r="F285" t="inlineStr">
        <is>
          <t>ÖSTERGÖTLANDS LÄN</t>
        </is>
      </c>
      <c r="G285" t="inlineStr">
        <is>
          <t>SÖDERKÖPING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8799-2023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44978</v>
      </c>
      <c r="E286" s="1" t="n">
        <v>46297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Allmännings- och besparingsskogar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46297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46241</v>
      </c>
      <c r="E288" s="1" t="n">
        <v>46297</v>
      </c>
      <c r="F288" t="inlineStr">
        <is>
          <t>ÖSTERGÖTLANDS LÄN</t>
        </is>
      </c>
      <c r="G288" t="inlineStr">
        <is>
          <t>SÖDERKÖPING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46297</v>
      </c>
      <c r="F289" t="inlineStr">
        <is>
          <t>ÖSTERGÖTLANDS LÄN</t>
        </is>
      </c>
      <c r="G289" t="inlineStr">
        <is>
          <t>SÖDERKÖPING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25790-2023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46297</v>
      </c>
      <c r="F290" t="inlineStr">
        <is>
          <t>ÖSTERGÖTLANDS LÄN</t>
        </is>
      </c>
      <c r="G290" t="inlineStr">
        <is>
          <t>SÖDERKÖPING</t>
        </is>
      </c>
      <c r="I290" t="n">
        <v>7.9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45218</v>
      </c>
      <c r="E291" s="1" t="n">
        <v>46297</v>
      </c>
      <c r="F291" t="inlineStr">
        <is>
          <t>ÖSTERGÖTLANDS LÄN</t>
        </is>
      </c>
      <c r="G291" t="inlineStr">
        <is>
          <t>SÖDERKÖPING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46297</v>
      </c>
      <c r="F292" t="inlineStr">
        <is>
          <t>ÖSTERGÖTLANDS LÄN</t>
        </is>
      </c>
      <c r="G292" t="inlineStr">
        <is>
          <t>SÖDERKÖPING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46297</v>
      </c>
      <c r="F293" t="inlineStr">
        <is>
          <t>ÖSTERGÖTLANDS LÄN</t>
        </is>
      </c>
      <c r="G293" t="inlineStr">
        <is>
          <t>SÖDERKÖPING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46297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46297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45504</v>
      </c>
      <c r="E296" s="1" t="n">
        <v>46297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45058</v>
      </c>
      <c r="E297" s="1" t="n">
        <v>46297</v>
      </c>
      <c r="F297" t="inlineStr">
        <is>
          <t>ÖSTERGÖTLANDS LÄN</t>
        </is>
      </c>
      <c r="G297" t="inlineStr">
        <is>
          <t>SÖDERKÖPING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46297</v>
      </c>
      <c r="F298" t="inlineStr">
        <is>
          <t>ÖSTERGÖTLANDS LÄN</t>
        </is>
      </c>
      <c r="G298" t="inlineStr">
        <is>
          <t>SÖDERKÖPING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45169</v>
      </c>
      <c r="E299" s="1" t="n">
        <v>46297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46297</v>
      </c>
      <c r="F300" t="inlineStr">
        <is>
          <t>ÖSTERGÖTLANDS LÄN</t>
        </is>
      </c>
      <c r="G300" t="inlineStr">
        <is>
          <t>SÖDERKÖPING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44901</v>
      </c>
      <c r="E301" s="1" t="n">
        <v>46297</v>
      </c>
      <c r="F301" t="inlineStr">
        <is>
          <t>ÖSTERGÖTLANDS LÄN</t>
        </is>
      </c>
      <c r="G301" t="inlineStr">
        <is>
          <t>SÖDERKÖPING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46297</v>
      </c>
      <c r="F302" t="inlineStr">
        <is>
          <t>ÖSTERGÖTLANDS LÄN</t>
        </is>
      </c>
      <c r="G302" t="inlineStr">
        <is>
          <t>SÖDERKÖPING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46297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Allmännings- och besparingsskogar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46297</v>
      </c>
      <c r="F304" t="inlineStr">
        <is>
          <t>ÖSTERGÖTLANDS LÄN</t>
        </is>
      </c>
      <c r="G304" t="inlineStr">
        <is>
          <t>SÖDERKÖPING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45295</v>
      </c>
      <c r="E305" s="1" t="n">
        <v>46297</v>
      </c>
      <c r="F305" t="inlineStr">
        <is>
          <t>ÖSTERGÖTLANDS LÄN</t>
        </is>
      </c>
      <c r="G305" t="inlineStr">
        <is>
          <t>SÖDERKÖPING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46297</v>
      </c>
      <c r="F306" t="inlineStr">
        <is>
          <t>ÖSTERGÖTLANDS LÄN</t>
        </is>
      </c>
      <c r="G306" t="inlineStr">
        <is>
          <t>SÖDERKÖPING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45218</v>
      </c>
      <c r="E307" s="1" t="n">
        <v>46297</v>
      </c>
      <c r="F307" t="inlineStr">
        <is>
          <t>ÖSTERGÖTLANDS LÄN</t>
        </is>
      </c>
      <c r="G307" t="inlineStr">
        <is>
          <t>SÖDERKÖPING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20251-2023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45055</v>
      </c>
      <c r="E308" s="1" t="n">
        <v>46297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45055</v>
      </c>
      <c r="E309" s="1" t="n">
        <v>46297</v>
      </c>
      <c r="F309" t="inlineStr">
        <is>
          <t>ÖSTERGÖTLANDS LÄN</t>
        </is>
      </c>
      <c r="G309" t="inlineStr">
        <is>
          <t>SÖDERKÖPING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46297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46297</v>
      </c>
      <c r="F311" t="inlineStr">
        <is>
          <t>ÖSTERGÖTLANDS LÄN</t>
        </is>
      </c>
      <c r="G311" t="inlineStr">
        <is>
          <t>SÖDERKÖPING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46297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44796</v>
      </c>
      <c r="E313" s="1" t="n">
        <v>46297</v>
      </c>
      <c r="F313" t="inlineStr">
        <is>
          <t>ÖSTERGÖTLANDS LÄN</t>
        </is>
      </c>
      <c r="G313" t="inlineStr">
        <is>
          <t>SÖDERKÖPING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61511-2023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46297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44588</v>
      </c>
      <c r="E315" s="1" t="n">
        <v>46297</v>
      </c>
      <c r="F315" t="inlineStr">
        <is>
          <t>ÖSTERGÖTLANDS LÄN</t>
        </is>
      </c>
      <c r="G315" t="inlineStr">
        <is>
          <t>SÖDERKÖPING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46297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63392-2021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44508</v>
      </c>
      <c r="E317" s="1" t="n">
        <v>46297</v>
      </c>
      <c r="F317" t="inlineStr">
        <is>
          <t>ÖSTERGÖTLANDS LÄN</t>
        </is>
      </c>
      <c r="G317" t="inlineStr">
        <is>
          <t>SÖDERKÖPING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11951-2024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45376</v>
      </c>
      <c r="E318" s="1" t="n">
        <v>46297</v>
      </c>
      <c r="F318" t="inlineStr">
        <is>
          <t>ÖSTERGÖTLANDS LÄN</t>
        </is>
      </c>
      <c r="G318" t="inlineStr">
        <is>
          <t>SÖDERKÖPING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44965</v>
      </c>
      <c r="E319" s="1" t="n">
        <v>46297</v>
      </c>
      <c r="F319" t="inlineStr">
        <is>
          <t>ÖSTERGÖTLANDS LÄN</t>
        </is>
      </c>
      <c r="G319" t="inlineStr">
        <is>
          <t>SÖDERKÖPING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46297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46297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48555-2023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45208</v>
      </c>
      <c r="E322" s="1" t="n">
        <v>46297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45687</v>
      </c>
      <c r="E323" s="1" t="n">
        <v>46297</v>
      </c>
      <c r="F323" t="inlineStr">
        <is>
          <t>ÖSTERGÖTLANDS LÄN</t>
        </is>
      </c>
      <c r="G323" t="inlineStr">
        <is>
          <t>SÖDERKÖPING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46297</v>
      </c>
      <c r="F324" t="inlineStr">
        <is>
          <t>ÖSTERGÖTLANDS LÄN</t>
        </is>
      </c>
      <c r="G324" t="inlineStr">
        <is>
          <t>SÖDERKÖPING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46297</v>
      </c>
      <c r="F325" t="inlineStr">
        <is>
          <t>ÖSTERGÖTLANDS LÄN</t>
        </is>
      </c>
      <c r="G325" t="inlineStr">
        <is>
          <t>SÖDERKÖPING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46297</v>
      </c>
      <c r="F326" t="inlineStr">
        <is>
          <t>ÖSTERGÖTLANDS LÄN</t>
        </is>
      </c>
      <c r="G326" t="inlineStr">
        <is>
          <t>SÖDERKÖPING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46297</v>
      </c>
      <c r="F327" t="inlineStr">
        <is>
          <t>ÖSTERGÖTLANDS LÄN</t>
        </is>
      </c>
      <c r="G327" t="inlineStr">
        <is>
          <t>SÖDERKÖPING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46297</v>
      </c>
      <c r="F328" t="inlineStr">
        <is>
          <t>ÖSTERGÖTLANDS LÄN</t>
        </is>
      </c>
      <c r="G328" t="inlineStr">
        <is>
          <t>SÖDERKÖPING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46297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46297</v>
      </c>
      <c r="F330" t="inlineStr">
        <is>
          <t>ÖSTERGÖTLANDS LÄN</t>
        </is>
      </c>
      <c r="G330" t="inlineStr">
        <is>
          <t>SÖDERKÖPING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46297</v>
      </c>
      <c r="F331" t="inlineStr">
        <is>
          <t>ÖSTERGÖTLANDS LÄN</t>
        </is>
      </c>
      <c r="G331" t="inlineStr">
        <is>
          <t>SÖDERKÖPING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46297</v>
      </c>
      <c r="F332" t="inlineStr">
        <is>
          <t>ÖSTERGÖTLANDS LÄN</t>
        </is>
      </c>
      <c r="G332" t="inlineStr">
        <is>
          <t>SÖDERKÖPING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46297</v>
      </c>
      <c r="F333" t="inlineStr">
        <is>
          <t>ÖSTERGÖTLANDS LÄN</t>
        </is>
      </c>
      <c r="G333" t="inlineStr">
        <is>
          <t>SÖDERKÖPING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45504</v>
      </c>
      <c r="E334" s="1" t="n">
        <v>46297</v>
      </c>
      <c r="F334" t="inlineStr">
        <is>
          <t>ÖSTERGÖTLANDS LÄN</t>
        </is>
      </c>
      <c r="G334" t="inlineStr">
        <is>
          <t>SÖDERKÖPING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46297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46297</v>
      </c>
      <c r="F336" t="inlineStr">
        <is>
          <t>ÖSTERGÖTLANDS LÄN</t>
        </is>
      </c>
      <c r="G336" t="inlineStr">
        <is>
          <t>SÖDERKÖPING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46297</v>
      </c>
      <c r="F337" t="inlineStr">
        <is>
          <t>ÖSTERGÖTLANDS LÄN</t>
        </is>
      </c>
      <c r="G337" t="inlineStr">
        <is>
          <t>SÖDERKÖPING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4766-2024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45610</v>
      </c>
      <c r="E338" s="1" t="n">
        <v>46297</v>
      </c>
      <c r="F338" t="inlineStr">
        <is>
          <t>ÖSTERGÖTLANDS LÄN</t>
        </is>
      </c>
      <c r="G338" t="inlineStr">
        <is>
          <t>SÖDERKÖPING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3958-2024</t>
        </is>
      </c>
      <c r="B339" t="inlineStr">
        <is>
          <t>samrådsanmälan</t>
        </is>
      </c>
      <c r="C339" t="inlineStr">
        <is>
          <t>Åtgärd i nyckelbiotop</t>
        </is>
      </c>
      <c r="D339" s="1" t="n">
        <v>45567</v>
      </c>
      <c r="E339" s="1" t="n">
        <v>46297</v>
      </c>
      <c r="F339" t="inlineStr">
        <is>
          <t>ÖSTERGÖTLANDS LÄN</t>
        </is>
      </c>
      <c r="G339" t="inlineStr">
        <is>
          <t>SÖDERKÖPING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4052-2023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45246</v>
      </c>
      <c r="E340" s="1" t="n">
        <v>46297</v>
      </c>
      <c r="F340" t="inlineStr">
        <is>
          <t>ÖSTERGÖTLANDS LÄN</t>
        </is>
      </c>
      <c r="G340" t="inlineStr">
        <is>
          <t>SÖDERKÖPING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1568-2024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45426</v>
      </c>
      <c r="E341" s="1" t="n">
        <v>46297</v>
      </c>
      <c r="F341" t="inlineStr">
        <is>
          <t>ÖSTERGÖTLANDS LÄN</t>
        </is>
      </c>
      <c r="G341" t="inlineStr">
        <is>
          <t>SÖDERKÖPING</t>
        </is>
      </c>
      <c r="I341" t="n">
        <v>29.3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3312-2023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45195</v>
      </c>
      <c r="E342" s="1" t="n">
        <v>46297</v>
      </c>
      <c r="F342" t="inlineStr">
        <is>
          <t>ÖSTERGÖTLANDS LÄN</t>
        </is>
      </c>
      <c r="G342" t="inlineStr">
        <is>
          <t>SÖDERKÖPING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1540-2026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46168</v>
      </c>
      <c r="E343" s="1" t="n">
        <v>46297</v>
      </c>
      <c r="F343" t="inlineStr">
        <is>
          <t>ÖSTERGÖTLANDS LÄN</t>
        </is>
      </c>
      <c r="G343" t="inlineStr">
        <is>
          <t>SÖDERKÖPING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2026-10-02T02:03:14Z</dcterms:created>
  <dcterms:modified xmlns:dcterms="http://purl.org/dc/terms/" xmlns:xsi="http://www.w3.org/2001/XMLSchema-instance" xsi:type="dcterms:W3CDTF">2026-10-02T02:03:15Z</dcterms:modified>
</cp:coreProperties>
</file>