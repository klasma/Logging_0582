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46168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46168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46168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46168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46168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46168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46168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46168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46168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46168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46168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46168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23518-2026</t>
        </is>
      </c>
      <c r="B17" s="1" t="n">
        <v>46163.49056712963</v>
      </c>
      <c r="C17" s="1" t="n">
        <v>46168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6.5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23518-2026 artfynd.xlsx", "A 23518-2026")</f>
        <v/>
      </c>
      <c r="T17">
        <f>HYPERLINK("https://klasma.github.io/Logging_0582/kartor/A 23518-2026 karta.png", "A 23518-2026")</f>
        <v/>
      </c>
      <c r="V17">
        <f>HYPERLINK("https://klasma.github.io/Logging_0582/klagomål/A 23518-2026 FSC-klagomål.docx", "A 23518-2026")</f>
        <v/>
      </c>
      <c r="W17">
        <f>HYPERLINK("https://klasma.github.io/Logging_0582/klagomålsmail/A 23518-2026 FSC-klagomål mail.docx", "A 23518-2026")</f>
        <v/>
      </c>
      <c r="X17">
        <f>HYPERLINK("https://klasma.github.io/Logging_0582/tillsyn/A 23518-2026 tillsynsbegäran.docx", "A 23518-2026")</f>
        <v/>
      </c>
      <c r="Y17">
        <f>HYPERLINK("https://klasma.github.io/Logging_0582/tillsynsmail/A 23518-2026 tillsynsbegäran mail.docx", "A 23518-2026")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46168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42909-2021</t>
        </is>
      </c>
      <c r="B19" s="1" t="n">
        <v>44431</v>
      </c>
      <c r="C19" s="1" t="n">
        <v>46168</v>
      </c>
      <c r="D19" t="inlineStr">
        <is>
          <t>ÖSTERGÖTLANDS LÄN</t>
        </is>
      </c>
      <c r="E19" t="inlineStr">
        <is>
          <t>SÖDERKÖPING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HYPERLINK("https://klasma.github.io/Logging_0582/artfynd/A 42909-2021 artfynd.xlsx", "A 42909-2021")</f>
        <v/>
      </c>
      <c r="T19">
        <f>HYPERLINK("https://klasma.github.io/Logging_0582/kartor/A 42909-2021 karta.png", "A 42909-2021")</f>
        <v/>
      </c>
      <c r="V19">
        <f>HYPERLINK("https://klasma.github.io/Logging_0582/klagomål/A 42909-2021 FSC-klagomål.docx", "A 42909-2021")</f>
        <v/>
      </c>
      <c r="W19">
        <f>HYPERLINK("https://klasma.github.io/Logging_0582/klagomålsmail/A 42909-2021 FSC-klagomål mail.docx", "A 42909-2021")</f>
        <v/>
      </c>
      <c r="X19">
        <f>HYPERLINK("https://klasma.github.io/Logging_0582/tillsyn/A 42909-2021 tillsynsbegäran.docx", "A 42909-2021")</f>
        <v/>
      </c>
      <c r="Y19">
        <f>HYPERLINK("https://klasma.github.io/Logging_0582/tillsynsmail/A 42909-2021 tillsynsbegäran mail.docx", "A 42909-2021")</f>
        <v/>
      </c>
    </row>
    <row r="20" ht="15" customHeight="1">
      <c r="A20" t="inlineStr">
        <is>
          <t>A 28549-2024</t>
        </is>
      </c>
      <c r="B20" s="1" t="n">
        <v>45478.35973379629</v>
      </c>
      <c r="C20" s="1" t="n">
        <v>46168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46168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46168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46168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46168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46168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46168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46168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46168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46168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46168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46168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46168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46168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46168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46168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46168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42432-2022</t>
        </is>
      </c>
      <c r="B37" s="1" t="n">
        <v>44831</v>
      </c>
      <c r="C37" s="1" t="n">
        <v>46168</v>
      </c>
      <c r="D37" t="inlineStr">
        <is>
          <t>ÖSTERGÖTLANDS LÄN</t>
        </is>
      </c>
      <c r="E37" t="inlineStr">
        <is>
          <t>SÖDERKÖPING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4666-2022</t>
        </is>
      </c>
      <c r="B38" s="1" t="n">
        <v>44592</v>
      </c>
      <c r="C38" s="1" t="n">
        <v>46168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46168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46168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46168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46168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46168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46168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46168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46168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23767-2022</t>
        </is>
      </c>
      <c r="B47" s="1" t="n">
        <v>44721</v>
      </c>
      <c r="C47" s="1" t="n">
        <v>46168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23782-2022</t>
        </is>
      </c>
      <c r="B48" s="1" t="n">
        <v>44722.41596064815</v>
      </c>
      <c r="C48" s="1" t="n">
        <v>46168</v>
      </c>
      <c r="D48" t="inlineStr">
        <is>
          <t>ÖSTERGÖTLANDS LÄN</t>
        </is>
      </c>
      <c r="E48" t="inlineStr">
        <is>
          <t>SÖDERKÖPING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46168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46168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46168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46168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25273-2021</t>
        </is>
      </c>
      <c r="B53" s="1" t="n">
        <v>44342</v>
      </c>
      <c r="C53" s="1" t="n">
        <v>46168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5310-2025</t>
        </is>
      </c>
      <c r="B54" s="1" t="n">
        <v>45692</v>
      </c>
      <c r="C54" s="1" t="n">
        <v>46168</v>
      </c>
      <c r="D54" t="inlineStr">
        <is>
          <t>ÖSTERGÖTLANDS LÄN</t>
        </is>
      </c>
      <c r="E54" t="inlineStr">
        <is>
          <t>SÖDERKÖPING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51746-2023</t>
        </is>
      </c>
      <c r="B55" s="1" t="n">
        <v>45222.67246527778</v>
      </c>
      <c r="C55" s="1" t="n">
        <v>46168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43495-2023</t>
        </is>
      </c>
      <c r="B56" s="1" t="n">
        <v>45184</v>
      </c>
      <c r="C56" s="1" t="n">
        <v>46168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50574-2024</t>
        </is>
      </c>
      <c r="B57" s="1" t="n">
        <v>45601.60746527778</v>
      </c>
      <c r="C57" s="1" t="n">
        <v>46168</v>
      </c>
      <c r="D57" t="inlineStr">
        <is>
          <t>ÖSTERGÖTLANDS LÄN</t>
        </is>
      </c>
      <c r="E57" t="inlineStr">
        <is>
          <t>SÖDERKÖPING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31312-2024</t>
        </is>
      </c>
      <c r="B58" s="1" t="n">
        <v>45504</v>
      </c>
      <c r="C58" s="1" t="n">
        <v>46168</v>
      </c>
      <c r="D58" t="inlineStr">
        <is>
          <t>ÖSTERGÖTLANDS LÄN</t>
        </is>
      </c>
      <c r="E58" t="inlineStr">
        <is>
          <t>SÖDERKÖPING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35326-2022</t>
        </is>
      </c>
      <c r="B59" s="1" t="n">
        <v>44798</v>
      </c>
      <c r="C59" s="1" t="n">
        <v>46168</v>
      </c>
      <c r="D59" t="inlineStr">
        <is>
          <t>ÖSTERGÖTLANDS LÄN</t>
        </is>
      </c>
      <c r="E59" t="inlineStr">
        <is>
          <t>SÖDERKÖPING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46168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22918-2025</t>
        </is>
      </c>
      <c r="B61" s="1" t="n">
        <v>45790.43162037037</v>
      </c>
      <c r="C61" s="1" t="n">
        <v>46168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49230-2022</t>
        </is>
      </c>
      <c r="B62" s="1" t="n">
        <v>44861.36121527778</v>
      </c>
      <c r="C62" s="1" t="n">
        <v>46168</v>
      </c>
      <c r="D62" t="inlineStr">
        <is>
          <t>ÖSTERGÖTLANDS LÄN</t>
        </is>
      </c>
      <c r="E62" t="inlineStr">
        <is>
          <t>SÖDERKÖPING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9729-2023</t>
        </is>
      </c>
      <c r="B63" s="1" t="n">
        <v>44984</v>
      </c>
      <c r="C63" s="1" t="n">
        <v>46168</v>
      </c>
      <c r="D63" t="inlineStr">
        <is>
          <t>ÖSTERGÖTLANDS LÄN</t>
        </is>
      </c>
      <c r="E63" t="inlineStr">
        <is>
          <t>SÖDERKÖPING</t>
        </is>
      </c>
      <c r="G63" t="n">
        <v>13.8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41300-2021</t>
        </is>
      </c>
      <c r="B64" s="1" t="n">
        <v>44424</v>
      </c>
      <c r="C64" s="1" t="n">
        <v>46168</v>
      </c>
      <c r="D64" t="inlineStr">
        <is>
          <t>ÖSTERGÖTLANDS LÄN</t>
        </is>
      </c>
      <c r="E64" t="inlineStr">
        <is>
          <t>SÖDERKÖPING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31315-2024</t>
        </is>
      </c>
      <c r="B65" s="1" t="n">
        <v>45504</v>
      </c>
      <c r="C65" s="1" t="n">
        <v>46168</v>
      </c>
      <c r="D65" t="inlineStr">
        <is>
          <t>ÖSTERGÖTLANDS LÄN</t>
        </is>
      </c>
      <c r="E65" t="inlineStr">
        <is>
          <t>SÖDERKÖPING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54961-2021</t>
        </is>
      </c>
      <c r="B66" s="1" t="n">
        <v>44474</v>
      </c>
      <c r="C66" s="1" t="n">
        <v>46168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59278-2021</t>
        </is>
      </c>
      <c r="B67" s="1" t="n">
        <v>44490.73391203704</v>
      </c>
      <c r="C67" s="1" t="n">
        <v>46168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46168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23451-2025</t>
        </is>
      </c>
      <c r="B69" s="1" t="n">
        <v>45792.41533564815</v>
      </c>
      <c r="C69" s="1" t="n">
        <v>46168</v>
      </c>
      <c r="D69" t="inlineStr">
        <is>
          <t>ÖSTERGÖTLANDS LÄN</t>
        </is>
      </c>
      <c r="E69" t="inlineStr">
        <is>
          <t>SÖDERKÖPING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45130-2022</t>
        </is>
      </c>
      <c r="B70" s="1" t="n">
        <v>44841</v>
      </c>
      <c r="C70" s="1" t="n">
        <v>46168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60160-2021</t>
        </is>
      </c>
      <c r="B71" s="1" t="n">
        <v>44495</v>
      </c>
      <c r="C71" s="1" t="n">
        <v>46168</v>
      </c>
      <c r="D71" t="inlineStr">
        <is>
          <t>ÖSTERGÖTLANDS LÄN</t>
        </is>
      </c>
      <c r="E71" t="inlineStr">
        <is>
          <t>SÖDERKÖPING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23699-2025</t>
        </is>
      </c>
      <c r="B72" s="1" t="n">
        <v>45793.35515046296</v>
      </c>
      <c r="C72" s="1" t="n">
        <v>46168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23695-2025</t>
        </is>
      </c>
      <c r="B73" s="1" t="n">
        <v>45793.35023148148</v>
      </c>
      <c r="C73" s="1" t="n">
        <v>46168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46168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5339-2025</t>
        </is>
      </c>
      <c r="B75" s="1" t="n">
        <v>45692</v>
      </c>
      <c r="C75" s="1" t="n">
        <v>46168</v>
      </c>
      <c r="D75" t="inlineStr">
        <is>
          <t>ÖSTERGÖTLANDS LÄN</t>
        </is>
      </c>
      <c r="E75" t="inlineStr">
        <is>
          <t>SÖDERKÖPING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59885-2023</t>
        </is>
      </c>
      <c r="B76" s="1" t="n">
        <v>45257</v>
      </c>
      <c r="C76" s="1" t="n">
        <v>46168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7071-2025</t>
        </is>
      </c>
      <c r="B77" s="1" t="n">
        <v>45701.66480324074</v>
      </c>
      <c r="C77" s="1" t="n">
        <v>46168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24335-2025</t>
        </is>
      </c>
      <c r="B78" s="1" t="n">
        <v>45797.57333333333</v>
      </c>
      <c r="C78" s="1" t="n">
        <v>46168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13802-2025</t>
        </is>
      </c>
      <c r="B79" s="1" t="n">
        <v>45737.48712962963</v>
      </c>
      <c r="C79" s="1" t="n">
        <v>46168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Holmen skog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50050-2023</t>
        </is>
      </c>
      <c r="B80" s="1" t="n">
        <v>45215</v>
      </c>
      <c r="C80" s="1" t="n">
        <v>46168</v>
      </c>
      <c r="D80" t="inlineStr">
        <is>
          <t>ÖSTERGÖTLANDS LÄN</t>
        </is>
      </c>
      <c r="E80" t="inlineStr">
        <is>
          <t>SÖDERKÖPING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24344-2025</t>
        </is>
      </c>
      <c r="B81" s="1" t="n">
        <v>45797.57797453704</v>
      </c>
      <c r="C81" s="1" t="n">
        <v>46168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24345-2025</t>
        </is>
      </c>
      <c r="B82" s="1" t="n">
        <v>45797.58002314815</v>
      </c>
      <c r="C82" s="1" t="n">
        <v>46168</v>
      </c>
      <c r="D82" t="inlineStr">
        <is>
          <t>ÖSTERGÖTLANDS LÄN</t>
        </is>
      </c>
      <c r="E82" t="inlineStr">
        <is>
          <t>SÖDERKÖPING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24349-2025</t>
        </is>
      </c>
      <c r="B83" s="1" t="n">
        <v>45797.58252314815</v>
      </c>
      <c r="C83" s="1" t="n">
        <v>46168</v>
      </c>
      <c r="D83" t="inlineStr">
        <is>
          <t>ÖSTERGÖTLANDS LÄN</t>
        </is>
      </c>
      <c r="E83" t="inlineStr">
        <is>
          <t>SÖDERKÖPING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24354-2025</t>
        </is>
      </c>
      <c r="B84" s="1" t="n">
        <v>45797.59006944444</v>
      </c>
      <c r="C84" s="1" t="n">
        <v>46168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4282-2025</t>
        </is>
      </c>
      <c r="B85" s="1" t="n">
        <v>45685</v>
      </c>
      <c r="C85" s="1" t="n">
        <v>46168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Kommuner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24355-2025</t>
        </is>
      </c>
      <c r="B86" s="1" t="n">
        <v>45797</v>
      </c>
      <c r="C86" s="1" t="n">
        <v>46168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9480-2024</t>
        </is>
      </c>
      <c r="B87" s="1" t="n">
        <v>45359.57516203704</v>
      </c>
      <c r="C87" s="1" t="n">
        <v>46168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16417-2025</t>
        </is>
      </c>
      <c r="B88" s="1" t="n">
        <v>45751.46355324074</v>
      </c>
      <c r="C88" s="1" t="n">
        <v>46168</v>
      </c>
      <c r="D88" t="inlineStr">
        <is>
          <t>ÖSTERGÖTLANDS LÄN</t>
        </is>
      </c>
      <c r="E88" t="inlineStr">
        <is>
          <t>SÖDERKÖPING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14705-2025</t>
        </is>
      </c>
      <c r="B89" s="1" t="n">
        <v>45742.60605324074</v>
      </c>
      <c r="C89" s="1" t="n">
        <v>46168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12046-2025</t>
        </is>
      </c>
      <c r="B90" s="1" t="n">
        <v>45728.66420138889</v>
      </c>
      <c r="C90" s="1" t="n">
        <v>46168</v>
      </c>
      <c r="D90" t="inlineStr">
        <is>
          <t>ÖSTERGÖTLANDS LÄN</t>
        </is>
      </c>
      <c r="E90" t="inlineStr">
        <is>
          <t>SÖDERKÖPING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4224-2025</t>
        </is>
      </c>
      <c r="B91" s="1" t="n">
        <v>45685</v>
      </c>
      <c r="C91" s="1" t="n">
        <v>46168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44859-2023</t>
        </is>
      </c>
      <c r="B92" s="1" t="n">
        <v>45190.58648148148</v>
      </c>
      <c r="C92" s="1" t="n">
        <v>46168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34177-2021</t>
        </is>
      </c>
      <c r="B93" s="1" t="n">
        <v>44379</v>
      </c>
      <c r="C93" s="1" t="n">
        <v>46168</v>
      </c>
      <c r="D93" t="inlineStr">
        <is>
          <t>ÖSTERGÖTLANDS LÄN</t>
        </is>
      </c>
      <c r="E93" t="inlineStr">
        <is>
          <t>SÖDERKÖPING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4318-2023</t>
        </is>
      </c>
      <c r="B94" s="1" t="n">
        <v>44953</v>
      </c>
      <c r="C94" s="1" t="n">
        <v>46168</v>
      </c>
      <c r="D94" t="inlineStr">
        <is>
          <t>ÖSTERGÖTLANDS LÄN</t>
        </is>
      </c>
      <c r="E94" t="inlineStr">
        <is>
          <t>SÖDERKÖPING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5300-2025</t>
        </is>
      </c>
      <c r="B95" s="1" t="n">
        <v>45692</v>
      </c>
      <c r="C95" s="1" t="n">
        <v>46168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38533-2025</t>
        </is>
      </c>
      <c r="B96" s="1" t="n">
        <v>45884.4155787037</v>
      </c>
      <c r="C96" s="1" t="n">
        <v>46168</v>
      </c>
      <c r="D96" t="inlineStr">
        <is>
          <t>ÖSTERGÖTLANDS LÄN</t>
        </is>
      </c>
      <c r="E96" t="inlineStr">
        <is>
          <t>SÖDERKÖPING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20783-2023</t>
        </is>
      </c>
      <c r="B97" s="1" t="n">
        <v>45058</v>
      </c>
      <c r="C97" s="1" t="n">
        <v>46168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20221-2023</t>
        </is>
      </c>
      <c r="B98" s="1" t="n">
        <v>45055</v>
      </c>
      <c r="C98" s="1" t="n">
        <v>46168</v>
      </c>
      <c r="D98" t="inlineStr">
        <is>
          <t>ÖSTERGÖTLANDS LÄN</t>
        </is>
      </c>
      <c r="E98" t="inlineStr">
        <is>
          <t>SÖDERKÖPING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2033-2023</t>
        </is>
      </c>
      <c r="B99" s="1" t="n">
        <v>44939</v>
      </c>
      <c r="C99" s="1" t="n">
        <v>46168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50241-2022</t>
        </is>
      </c>
      <c r="B100" s="1" t="n">
        <v>44865</v>
      </c>
      <c r="C100" s="1" t="n">
        <v>46168</v>
      </c>
      <c r="D100" t="inlineStr">
        <is>
          <t>ÖSTERGÖTLANDS LÄN</t>
        </is>
      </c>
      <c r="E100" t="inlineStr">
        <is>
          <t>SÖDERKÖPING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39659-2025</t>
        </is>
      </c>
      <c r="B101" s="1" t="n">
        <v>45890.62998842593</v>
      </c>
      <c r="C101" s="1" t="n">
        <v>46168</v>
      </c>
      <c r="D101" t="inlineStr">
        <is>
          <t>ÖSTERGÖTLANDS LÄN</t>
        </is>
      </c>
      <c r="E101" t="inlineStr">
        <is>
          <t>SÖDERKÖPING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39817-2025</t>
        </is>
      </c>
      <c r="B102" s="1" t="n">
        <v>45891.53243055556</v>
      </c>
      <c r="C102" s="1" t="n">
        <v>46168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28482-2025</t>
        </is>
      </c>
      <c r="B103" s="1" t="n">
        <v>45817</v>
      </c>
      <c r="C103" s="1" t="n">
        <v>46168</v>
      </c>
      <c r="D103" t="inlineStr">
        <is>
          <t>ÖSTERGÖTLANDS LÄN</t>
        </is>
      </c>
      <c r="E103" t="inlineStr">
        <is>
          <t>SÖDERKÖPING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28487-2025</t>
        </is>
      </c>
      <c r="B104" s="1" t="n">
        <v>45817</v>
      </c>
      <c r="C104" s="1" t="n">
        <v>46168</v>
      </c>
      <c r="D104" t="inlineStr">
        <is>
          <t>ÖSTERGÖTLANDS LÄN</t>
        </is>
      </c>
      <c r="E104" t="inlineStr">
        <is>
          <t>SÖDERKÖPING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53777-2023</t>
        </is>
      </c>
      <c r="B105" s="1" t="n">
        <v>45231.3040625</v>
      </c>
      <c r="C105" s="1" t="n">
        <v>46168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46168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28350-2025</t>
        </is>
      </c>
      <c r="B107" s="1" t="n">
        <v>45818.74125</v>
      </c>
      <c r="C107" s="1" t="n">
        <v>46168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28466-2025</t>
        </is>
      </c>
      <c r="B108" s="1" t="n">
        <v>45817</v>
      </c>
      <c r="C108" s="1" t="n">
        <v>46168</v>
      </c>
      <c r="D108" t="inlineStr">
        <is>
          <t>ÖSTERGÖTLANDS LÄN</t>
        </is>
      </c>
      <c r="E108" t="inlineStr">
        <is>
          <t>SÖDERKÖPING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18794-2024</t>
        </is>
      </c>
      <c r="B109" s="1" t="n">
        <v>45426</v>
      </c>
      <c r="C109" s="1" t="n">
        <v>46168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14776-2025</t>
        </is>
      </c>
      <c r="B110" s="1" t="n">
        <v>45742.69717592592</v>
      </c>
      <c r="C110" s="1" t="n">
        <v>46168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28478-2025</t>
        </is>
      </c>
      <c r="B111" s="1" t="n">
        <v>45817</v>
      </c>
      <c r="C111" s="1" t="n">
        <v>46168</v>
      </c>
      <c r="D111" t="inlineStr">
        <is>
          <t>ÖSTERGÖTLANDS LÄN</t>
        </is>
      </c>
      <c r="E111" t="inlineStr">
        <is>
          <t>SÖDERKÖPING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28420-2025</t>
        </is>
      </c>
      <c r="B112" s="1" t="n">
        <v>45819</v>
      </c>
      <c r="C112" s="1" t="n">
        <v>46168</v>
      </c>
      <c r="D112" t="inlineStr">
        <is>
          <t>ÖSTERGÖTLANDS LÄN</t>
        </is>
      </c>
      <c r="E112" t="inlineStr">
        <is>
          <t>SÖDERKÖPING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10195-2025</t>
        </is>
      </c>
      <c r="B113" s="1" t="n">
        <v>45719.70283564815</v>
      </c>
      <c r="C113" s="1" t="n">
        <v>46168</v>
      </c>
      <c r="D113" t="inlineStr">
        <is>
          <t>ÖSTERGÖTLANDS LÄN</t>
        </is>
      </c>
      <c r="E113" t="inlineStr">
        <is>
          <t>SÖDERKÖPING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13792-2025</t>
        </is>
      </c>
      <c r="B114" s="1" t="n">
        <v>45737.46815972222</v>
      </c>
      <c r="C114" s="1" t="n">
        <v>46168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42211-2025</t>
        </is>
      </c>
      <c r="B115" s="1" t="n">
        <v>45904.50119212963</v>
      </c>
      <c r="C115" s="1" t="n">
        <v>46168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42214-2025</t>
        </is>
      </c>
      <c r="B116" s="1" t="n">
        <v>45904</v>
      </c>
      <c r="C116" s="1" t="n">
        <v>46168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42219-2025</t>
        </is>
      </c>
      <c r="B117" s="1" t="n">
        <v>45904.52766203704</v>
      </c>
      <c r="C117" s="1" t="n">
        <v>46168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7058-2025</t>
        </is>
      </c>
      <c r="B118" s="1" t="n">
        <v>45701.65451388889</v>
      </c>
      <c r="C118" s="1" t="n">
        <v>46168</v>
      </c>
      <c r="D118" t="inlineStr">
        <is>
          <t>ÖSTERGÖTLANDS LÄN</t>
        </is>
      </c>
      <c r="E118" t="inlineStr">
        <is>
          <t>SÖDERKÖPING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21648-2023</t>
        </is>
      </c>
      <c r="B119" s="1" t="n">
        <v>45063</v>
      </c>
      <c r="C119" s="1" t="n">
        <v>46168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354-2024</t>
        </is>
      </c>
      <c r="B120" s="1" t="n">
        <v>45295</v>
      </c>
      <c r="C120" s="1" t="n">
        <v>46168</v>
      </c>
      <c r="D120" t="inlineStr">
        <is>
          <t>ÖSTERGÖTLANDS LÄN</t>
        </is>
      </c>
      <c r="E120" t="inlineStr">
        <is>
          <t>SÖDERKÖPING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42768-2025</t>
        </is>
      </c>
      <c r="B121" s="1" t="n">
        <v>45908.47822916666</v>
      </c>
      <c r="C121" s="1" t="n">
        <v>46168</v>
      </c>
      <c r="D121" t="inlineStr">
        <is>
          <t>ÖSTERGÖTLANDS LÄN</t>
        </is>
      </c>
      <c r="E121" t="inlineStr">
        <is>
          <t>SÖDERKÖPING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16775-2025</t>
        </is>
      </c>
      <c r="B122" s="1" t="n">
        <v>45754</v>
      </c>
      <c r="C122" s="1" t="n">
        <v>46168</v>
      </c>
      <c r="D122" t="inlineStr">
        <is>
          <t>ÖSTERGÖTLANDS LÄN</t>
        </is>
      </c>
      <c r="E122" t="inlineStr">
        <is>
          <t>SÖDERKÖPING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30831-2025</t>
        </is>
      </c>
      <c r="B123" s="1" t="n">
        <v>45831.68800925926</v>
      </c>
      <c r="C123" s="1" t="n">
        <v>46168</v>
      </c>
      <c r="D123" t="inlineStr">
        <is>
          <t>ÖSTERGÖTLANDS LÄN</t>
        </is>
      </c>
      <c r="E123" t="inlineStr">
        <is>
          <t>SÖDERKÖPING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20100-2025</t>
        </is>
      </c>
      <c r="B124" s="1" t="n">
        <v>45771</v>
      </c>
      <c r="C124" s="1" t="n">
        <v>46168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13055-2025</t>
        </is>
      </c>
      <c r="B125" s="1" t="n">
        <v>45734.59517361111</v>
      </c>
      <c r="C125" s="1" t="n">
        <v>46168</v>
      </c>
      <c r="D125" t="inlineStr">
        <is>
          <t>ÖSTERGÖTLANDS LÄN</t>
        </is>
      </c>
      <c r="E125" t="inlineStr">
        <is>
          <t>SÖDERKÖPING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13060-2025</t>
        </is>
      </c>
      <c r="B126" s="1" t="n">
        <v>45734.59896990741</v>
      </c>
      <c r="C126" s="1" t="n">
        <v>46168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42716-2025</t>
        </is>
      </c>
      <c r="B127" s="1" t="n">
        <v>45908.38768518518</v>
      </c>
      <c r="C127" s="1" t="n">
        <v>46168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23121-2025</t>
        </is>
      </c>
      <c r="B128" s="1" t="n">
        <v>45791.37603009259</v>
      </c>
      <c r="C128" s="1" t="n">
        <v>46168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33735-2023</t>
        </is>
      </c>
      <c r="B129" s="1" t="n">
        <v>45119</v>
      </c>
      <c r="C129" s="1" t="n">
        <v>46168</v>
      </c>
      <c r="D129" t="inlineStr">
        <is>
          <t>ÖSTERGÖTLANDS LÄN</t>
        </is>
      </c>
      <c r="E129" t="inlineStr">
        <is>
          <t>SÖDERKÖPING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26915-2023</t>
        </is>
      </c>
      <c r="B130" s="1" t="n">
        <v>45093</v>
      </c>
      <c r="C130" s="1" t="n">
        <v>46168</v>
      </c>
      <c r="D130" t="inlineStr">
        <is>
          <t>ÖSTERGÖTLANDS LÄN</t>
        </is>
      </c>
      <c r="E130" t="inlineStr">
        <is>
          <t>SÖDERKÖPING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17359-2025</t>
        </is>
      </c>
      <c r="B131" s="1" t="n">
        <v>45756</v>
      </c>
      <c r="C131" s="1" t="n">
        <v>46168</v>
      </c>
      <c r="D131" t="inlineStr">
        <is>
          <t>ÖSTERGÖTLANDS LÄN</t>
        </is>
      </c>
      <c r="E131" t="inlineStr">
        <is>
          <t>SÖDERKÖPING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31686-2025</t>
        </is>
      </c>
      <c r="B132" s="1" t="n">
        <v>45834.39778935185</v>
      </c>
      <c r="C132" s="1" t="n">
        <v>46168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56879-2023</t>
        </is>
      </c>
      <c r="B133" s="1" t="n">
        <v>45244</v>
      </c>
      <c r="C133" s="1" t="n">
        <v>46168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32641-2025</t>
        </is>
      </c>
      <c r="B134" s="1" t="n">
        <v>45838.65972222222</v>
      </c>
      <c r="C134" s="1" t="n">
        <v>46168</v>
      </c>
      <c r="D134" t="inlineStr">
        <is>
          <t>ÖSTERGÖTLANDS LÄN</t>
        </is>
      </c>
      <c r="E134" t="inlineStr">
        <is>
          <t>SÖDERKÖPING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4367-2025</t>
        </is>
      </c>
      <c r="B135" s="1" t="n">
        <v>45685</v>
      </c>
      <c r="C135" s="1" t="n">
        <v>46168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66075-2021</t>
        </is>
      </c>
      <c r="B136" s="1" t="n">
        <v>44517</v>
      </c>
      <c r="C136" s="1" t="n">
        <v>46168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32586-2025</t>
        </is>
      </c>
      <c r="B137" s="1" t="n">
        <v>45838.60056712963</v>
      </c>
      <c r="C137" s="1" t="n">
        <v>46168</v>
      </c>
      <c r="D137" t="inlineStr">
        <is>
          <t>ÖSTERGÖTLANDS LÄN</t>
        </is>
      </c>
      <c r="E137" t="inlineStr">
        <is>
          <t>SÖDERKÖPING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32643-2025</t>
        </is>
      </c>
      <c r="B138" s="1" t="n">
        <v>45838.66276620371</v>
      </c>
      <c r="C138" s="1" t="n">
        <v>46168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3925-2025</t>
        </is>
      </c>
      <c r="B139" s="1" t="n">
        <v>45684.44912037037</v>
      </c>
      <c r="C139" s="1" t="n">
        <v>46168</v>
      </c>
      <c r="D139" t="inlineStr">
        <is>
          <t>ÖSTERGÖTLANDS LÄN</t>
        </is>
      </c>
      <c r="E139" t="inlineStr">
        <is>
          <t>SÖDERKÖPING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32646-2025</t>
        </is>
      </c>
      <c r="B140" s="1" t="n">
        <v>45838.66570601852</v>
      </c>
      <c r="C140" s="1" t="n">
        <v>46168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40562-2024</t>
        </is>
      </c>
      <c r="B141" s="1" t="n">
        <v>45555</v>
      </c>
      <c r="C141" s="1" t="n">
        <v>46168</v>
      </c>
      <c r="D141" t="inlineStr">
        <is>
          <t>ÖSTERGÖTLANDS LÄN</t>
        </is>
      </c>
      <c r="E141" t="inlineStr">
        <is>
          <t>SÖDERKÖPING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49366-2023</t>
        </is>
      </c>
      <c r="B142" s="1" t="n">
        <v>45211</v>
      </c>
      <c r="C142" s="1" t="n">
        <v>46168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6546-2023</t>
        </is>
      </c>
      <c r="B143" s="1" t="n">
        <v>44966</v>
      </c>
      <c r="C143" s="1" t="n">
        <v>46168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459-2024</t>
        </is>
      </c>
      <c r="B144" s="1" t="n">
        <v>45297</v>
      </c>
      <c r="C144" s="1" t="n">
        <v>46168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47419-2024</t>
        </is>
      </c>
      <c r="B145" s="1" t="n">
        <v>45586</v>
      </c>
      <c r="C145" s="1" t="n">
        <v>46168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34392-2025</t>
        </is>
      </c>
      <c r="B146" s="1" t="n">
        <v>45846</v>
      </c>
      <c r="C146" s="1" t="n">
        <v>46168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22512-2024</t>
        </is>
      </c>
      <c r="B147" s="1" t="n">
        <v>45447.38427083333</v>
      </c>
      <c r="C147" s="1" t="n">
        <v>46168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45518-2025</t>
        </is>
      </c>
      <c r="B148" s="1" t="n">
        <v>45922.59006944444</v>
      </c>
      <c r="C148" s="1" t="n">
        <v>46168</v>
      </c>
      <c r="D148" t="inlineStr">
        <is>
          <t>ÖSTERGÖTLANDS LÄN</t>
        </is>
      </c>
      <c r="E148" t="inlineStr">
        <is>
          <t>SÖDERKÖPING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34404-2025</t>
        </is>
      </c>
      <c r="B149" s="1" t="n">
        <v>45846</v>
      </c>
      <c r="C149" s="1" t="n">
        <v>46168</v>
      </c>
      <c r="D149" t="inlineStr">
        <is>
          <t>ÖSTERGÖTLANDS LÄN</t>
        </is>
      </c>
      <c r="E149" t="inlineStr">
        <is>
          <t>SÖDERKÖPING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45169-2025</t>
        </is>
      </c>
      <c r="B150" s="1" t="n">
        <v>45919.50013888889</v>
      </c>
      <c r="C150" s="1" t="n">
        <v>46168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34981-2025</t>
        </is>
      </c>
      <c r="B151" s="1" t="n">
        <v>45849</v>
      </c>
      <c r="C151" s="1" t="n">
        <v>46168</v>
      </c>
      <c r="D151" t="inlineStr">
        <is>
          <t>ÖSTERGÖTLANDS LÄN</t>
        </is>
      </c>
      <c r="E151" t="inlineStr">
        <is>
          <t>SÖDERKÖPING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43949-2024</t>
        </is>
      </c>
      <c r="B152" s="1" t="n">
        <v>45572.47253472222</v>
      </c>
      <c r="C152" s="1" t="n">
        <v>46168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34969-2025</t>
        </is>
      </c>
      <c r="B153" s="1" t="n">
        <v>45849</v>
      </c>
      <c r="C153" s="1" t="n">
        <v>46168</v>
      </c>
      <c r="D153" t="inlineStr">
        <is>
          <t>ÖSTERGÖTLANDS LÄN</t>
        </is>
      </c>
      <c r="E153" t="inlineStr">
        <is>
          <t>SÖDERKÖPING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34979-2025</t>
        </is>
      </c>
      <c r="B154" s="1" t="n">
        <v>45849</v>
      </c>
      <c r="C154" s="1" t="n">
        <v>46168</v>
      </c>
      <c r="D154" t="inlineStr">
        <is>
          <t>ÖSTERGÖTLANDS LÄN</t>
        </is>
      </c>
      <c r="E154" t="inlineStr">
        <is>
          <t>SÖDERKÖPING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45648-2025</t>
        </is>
      </c>
      <c r="B155" s="1" t="n">
        <v>45923.32045138889</v>
      </c>
      <c r="C155" s="1" t="n">
        <v>46168</v>
      </c>
      <c r="D155" t="inlineStr">
        <is>
          <t>ÖSTERGÖTLANDS LÄN</t>
        </is>
      </c>
      <c r="E155" t="inlineStr">
        <is>
          <t>SÖDERKÖPING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45774-2025</t>
        </is>
      </c>
      <c r="B156" s="1" t="n">
        <v>45923</v>
      </c>
      <c r="C156" s="1" t="n">
        <v>46168</v>
      </c>
      <c r="D156" t="inlineStr">
        <is>
          <t>ÖSTERGÖTLANDS LÄN</t>
        </is>
      </c>
      <c r="E156" t="inlineStr">
        <is>
          <t>SÖDERKÖPING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46195-2025</t>
        </is>
      </c>
      <c r="B157" s="1" t="n">
        <v>45924.68145833333</v>
      </c>
      <c r="C157" s="1" t="n">
        <v>46168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46198-2025</t>
        </is>
      </c>
      <c r="B158" s="1" t="n">
        <v>45924.68908564815</v>
      </c>
      <c r="C158" s="1" t="n">
        <v>46168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34871-2025</t>
        </is>
      </c>
      <c r="B159" s="1" t="n">
        <v>45849</v>
      </c>
      <c r="C159" s="1" t="n">
        <v>46168</v>
      </c>
      <c r="D159" t="inlineStr">
        <is>
          <t>ÖSTERGÖTLANDS LÄN</t>
        </is>
      </c>
      <c r="E159" t="inlineStr">
        <is>
          <t>SÖDERKÖPING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34971-2025</t>
        </is>
      </c>
      <c r="B160" s="1" t="n">
        <v>45849</v>
      </c>
      <c r="C160" s="1" t="n">
        <v>46168</v>
      </c>
      <c r="D160" t="inlineStr">
        <is>
          <t>ÖSTERGÖTLANDS LÄN</t>
        </is>
      </c>
      <c r="E160" t="inlineStr">
        <is>
          <t>SÖDERKÖPING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34982-2025</t>
        </is>
      </c>
      <c r="B161" s="1" t="n">
        <v>45849.70490740741</v>
      </c>
      <c r="C161" s="1" t="n">
        <v>46168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4328-2025</t>
        </is>
      </c>
      <c r="B162" s="1" t="n">
        <v>45685</v>
      </c>
      <c r="C162" s="1" t="n">
        <v>46168</v>
      </c>
      <c r="D162" t="inlineStr">
        <is>
          <t>ÖSTERGÖTLANDS LÄN</t>
        </is>
      </c>
      <c r="E162" t="inlineStr">
        <is>
          <t>SÖDERKÖPING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34973-2025</t>
        </is>
      </c>
      <c r="B163" s="1" t="n">
        <v>45849</v>
      </c>
      <c r="C163" s="1" t="n">
        <v>46168</v>
      </c>
      <c r="D163" t="inlineStr">
        <is>
          <t>ÖSTERGÖTLANDS LÄN</t>
        </is>
      </c>
      <c r="E163" t="inlineStr">
        <is>
          <t>SÖDERKÖPING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29519-2023</t>
        </is>
      </c>
      <c r="B164" s="1" t="n">
        <v>45106.62018518519</v>
      </c>
      <c r="C164" s="1" t="n">
        <v>46168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46643-2025</t>
        </is>
      </c>
      <c r="B165" s="1" t="n">
        <v>45926</v>
      </c>
      <c r="C165" s="1" t="n">
        <v>46168</v>
      </c>
      <c r="D165" t="inlineStr">
        <is>
          <t>ÖSTERGÖTLANDS LÄN</t>
        </is>
      </c>
      <c r="E165" t="inlineStr">
        <is>
          <t>SÖDERKÖPING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43041-2024</t>
        </is>
      </c>
      <c r="B166" s="1" t="n">
        <v>45567.42827546296</v>
      </c>
      <c r="C166" s="1" t="n">
        <v>46168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6535-2023</t>
        </is>
      </c>
      <c r="B167" s="1" t="n">
        <v>44966</v>
      </c>
      <c r="C167" s="1" t="n">
        <v>46168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46725-2025</t>
        </is>
      </c>
      <c r="B168" s="1" t="n">
        <v>45926</v>
      </c>
      <c r="C168" s="1" t="n">
        <v>46168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46742-2025</t>
        </is>
      </c>
      <c r="B169" s="1" t="n">
        <v>45926.60870370371</v>
      </c>
      <c r="C169" s="1" t="n">
        <v>46168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46760-2025</t>
        </is>
      </c>
      <c r="B170" s="1" t="n">
        <v>45926.62155092593</v>
      </c>
      <c r="C170" s="1" t="n">
        <v>46168</v>
      </c>
      <c r="D170" t="inlineStr">
        <is>
          <t>ÖSTERGÖTLANDS LÄN</t>
        </is>
      </c>
      <c r="E170" t="inlineStr">
        <is>
          <t>SÖDERKÖPING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46649-2025</t>
        </is>
      </c>
      <c r="B171" s="1" t="n">
        <v>45926</v>
      </c>
      <c r="C171" s="1" t="n">
        <v>46168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46780-2025</t>
        </is>
      </c>
      <c r="B172" s="1" t="n">
        <v>45926</v>
      </c>
      <c r="C172" s="1" t="n">
        <v>46168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46781-2025</t>
        </is>
      </c>
      <c r="B173" s="1" t="n">
        <v>45926.64165509259</v>
      </c>
      <c r="C173" s="1" t="n">
        <v>46168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46789-2025</t>
        </is>
      </c>
      <c r="B174" s="1" t="n">
        <v>45926.64915509259</v>
      </c>
      <c r="C174" s="1" t="n">
        <v>46168</v>
      </c>
      <c r="D174" t="inlineStr">
        <is>
          <t>ÖSTERGÖTLANDS LÄN</t>
        </is>
      </c>
      <c r="E174" t="inlineStr">
        <is>
          <t>SÖDERKÖPING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46733-2025</t>
        </is>
      </c>
      <c r="B175" s="1" t="n">
        <v>45926</v>
      </c>
      <c r="C175" s="1" t="n">
        <v>46168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46764-2025</t>
        </is>
      </c>
      <c r="B176" s="1" t="n">
        <v>45926.62587962963</v>
      </c>
      <c r="C176" s="1" t="n">
        <v>46168</v>
      </c>
      <c r="D176" t="inlineStr">
        <is>
          <t>ÖSTERGÖTLANDS LÄN</t>
        </is>
      </c>
      <c r="E176" t="inlineStr">
        <is>
          <t>SÖDERKÖPING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36734-2022</t>
        </is>
      </c>
      <c r="B177" s="1" t="n">
        <v>44805</v>
      </c>
      <c r="C177" s="1" t="n">
        <v>46168</v>
      </c>
      <c r="D177" t="inlineStr">
        <is>
          <t>ÖSTERGÖTLANDS LÄN</t>
        </is>
      </c>
      <c r="E177" t="inlineStr">
        <is>
          <t>SÖDERKÖPING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46777-2025</t>
        </is>
      </c>
      <c r="B178" s="1" t="n">
        <v>45926.63993055555</v>
      </c>
      <c r="C178" s="1" t="n">
        <v>46168</v>
      </c>
      <c r="D178" t="inlineStr">
        <is>
          <t>ÖSTERGÖTLANDS LÄN</t>
        </is>
      </c>
      <c r="E178" t="inlineStr">
        <is>
          <t>SÖDERKÖPING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46802-2025</t>
        </is>
      </c>
      <c r="B179" s="1" t="n">
        <v>45926.67387731482</v>
      </c>
      <c r="C179" s="1" t="n">
        <v>46168</v>
      </c>
      <c r="D179" t="inlineStr">
        <is>
          <t>ÖSTERGÖTLANDS LÄN</t>
        </is>
      </c>
      <c r="E179" t="inlineStr">
        <is>
          <t>SÖDERKÖPING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46771-2025</t>
        </is>
      </c>
      <c r="B180" s="1" t="n">
        <v>45926.63214120371</v>
      </c>
      <c r="C180" s="1" t="n">
        <v>46168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46776-2025</t>
        </is>
      </c>
      <c r="B181" s="1" t="n">
        <v>45926.6360300926</v>
      </c>
      <c r="C181" s="1" t="n">
        <v>46168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46768-2025</t>
        </is>
      </c>
      <c r="B182" s="1" t="n">
        <v>45926.62881944444</v>
      </c>
      <c r="C182" s="1" t="n">
        <v>46168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50590-2024</t>
        </is>
      </c>
      <c r="B183" s="1" t="n">
        <v>45601.61900462963</v>
      </c>
      <c r="C183" s="1" t="n">
        <v>46168</v>
      </c>
      <c r="D183" t="inlineStr">
        <is>
          <t>ÖSTERGÖTLANDS LÄN</t>
        </is>
      </c>
      <c r="E183" t="inlineStr">
        <is>
          <t>SÖDERKÖPING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47428-2024</t>
        </is>
      </c>
      <c r="B184" s="1" t="n">
        <v>45586</v>
      </c>
      <c r="C184" s="1" t="n">
        <v>46168</v>
      </c>
      <c r="D184" t="inlineStr">
        <is>
          <t>ÖSTERGÖTLANDS LÄN</t>
        </is>
      </c>
      <c r="E184" t="inlineStr">
        <is>
          <t>SÖDERKÖPING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33726-2023</t>
        </is>
      </c>
      <c r="B185" s="1" t="n">
        <v>45119</v>
      </c>
      <c r="C185" s="1" t="n">
        <v>46168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6035-2023</t>
        </is>
      </c>
      <c r="B186" s="1" t="n">
        <v>44964.45189814815</v>
      </c>
      <c r="C186" s="1" t="n">
        <v>46168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42358-2023</t>
        </is>
      </c>
      <c r="B187" s="1" t="n">
        <v>45180.52923611111</v>
      </c>
      <c r="C187" s="1" t="n">
        <v>46168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Allmännings- och besparingsskogar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1614-2023</t>
        </is>
      </c>
      <c r="B188" s="1" t="n">
        <v>44937.70653935185</v>
      </c>
      <c r="C188" s="1" t="n">
        <v>46168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30114-2024</t>
        </is>
      </c>
      <c r="B189" s="1" t="n">
        <v>45489.47268518519</v>
      </c>
      <c r="C189" s="1" t="n">
        <v>46168</v>
      </c>
      <c r="D189" t="inlineStr">
        <is>
          <t>ÖSTERGÖTLANDS LÄN</t>
        </is>
      </c>
      <c r="E189" t="inlineStr">
        <is>
          <t>SÖDERKÖPING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41245-2023</t>
        </is>
      </c>
      <c r="B190" s="1" t="n">
        <v>45174</v>
      </c>
      <c r="C190" s="1" t="n">
        <v>46168</v>
      </c>
      <c r="D190" t="inlineStr">
        <is>
          <t>ÖSTERGÖTLANDS LÄN</t>
        </is>
      </c>
      <c r="E190" t="inlineStr">
        <is>
          <t>SÖDERKÖPING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15034-2024</t>
        </is>
      </c>
      <c r="B191" s="1" t="n">
        <v>45399</v>
      </c>
      <c r="C191" s="1" t="n">
        <v>46168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48372-2025</t>
        </is>
      </c>
      <c r="B192" s="1" t="n">
        <v>45933.68805555555</v>
      </c>
      <c r="C192" s="1" t="n">
        <v>46168</v>
      </c>
      <c r="D192" t="inlineStr">
        <is>
          <t>ÖSTERGÖTLANDS LÄN</t>
        </is>
      </c>
      <c r="E192" t="inlineStr">
        <is>
          <t>SÖDERKÖPING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9734-2023</t>
        </is>
      </c>
      <c r="B193" s="1" t="n">
        <v>44984</v>
      </c>
      <c r="C193" s="1" t="n">
        <v>46168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Allmännings- och besparingsskogar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9799-2023</t>
        </is>
      </c>
      <c r="B194" s="1" t="n">
        <v>44984.65405092593</v>
      </c>
      <c r="C194" s="1" t="n">
        <v>46168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Allmännings- och besparingsskogar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37343-2025</t>
        </is>
      </c>
      <c r="B195" s="1" t="n">
        <v>45876</v>
      </c>
      <c r="C195" s="1" t="n">
        <v>46168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37345-2025</t>
        </is>
      </c>
      <c r="B196" s="1" t="n">
        <v>45876.70543981482</v>
      </c>
      <c r="C196" s="1" t="n">
        <v>46168</v>
      </c>
      <c r="D196" t="inlineStr">
        <is>
          <t>ÖSTERGÖTLANDS LÄN</t>
        </is>
      </c>
      <c r="E196" t="inlineStr">
        <is>
          <t>SÖDERKÖPING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12708-2024</t>
        </is>
      </c>
      <c r="B197" s="1" t="n">
        <v>45379</v>
      </c>
      <c r="C197" s="1" t="n">
        <v>46168</v>
      </c>
      <c r="D197" t="inlineStr">
        <is>
          <t>ÖSTERGÖTLANDS LÄN</t>
        </is>
      </c>
      <c r="E197" t="inlineStr">
        <is>
          <t>SÖDERKÖPING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10187-2025</t>
        </is>
      </c>
      <c r="B198" s="1" t="n">
        <v>45719.69138888889</v>
      </c>
      <c r="C198" s="1" t="n">
        <v>46168</v>
      </c>
      <c r="D198" t="inlineStr">
        <is>
          <t>ÖSTERGÖTLANDS LÄN</t>
        </is>
      </c>
      <c r="E198" t="inlineStr">
        <is>
          <t>SÖDERKÖPING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64211-2023</t>
        </is>
      </c>
      <c r="B199" s="1" t="n">
        <v>45279.76971064815</v>
      </c>
      <c r="C199" s="1" t="n">
        <v>46168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49569-2022</t>
        </is>
      </c>
      <c r="B200" s="1" t="n">
        <v>44862</v>
      </c>
      <c r="C200" s="1" t="n">
        <v>46168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38595-2022</t>
        </is>
      </c>
      <c r="B201" s="1" t="n">
        <v>44813</v>
      </c>
      <c r="C201" s="1" t="n">
        <v>46168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45044-2023</t>
        </is>
      </c>
      <c r="B202" s="1" t="n">
        <v>45191</v>
      </c>
      <c r="C202" s="1" t="n">
        <v>46168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13865-2025</t>
        </is>
      </c>
      <c r="B203" s="1" t="n">
        <v>45737.57474537037</v>
      </c>
      <c r="C203" s="1" t="n">
        <v>46168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13889-2025</t>
        </is>
      </c>
      <c r="B204" s="1" t="n">
        <v>45737.61777777778</v>
      </c>
      <c r="C204" s="1" t="n">
        <v>46168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13920-2025</t>
        </is>
      </c>
      <c r="B205" s="1" t="n">
        <v>45737.65708333333</v>
      </c>
      <c r="C205" s="1" t="n">
        <v>46168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50588-2024</t>
        </is>
      </c>
      <c r="B206" s="1" t="n">
        <v>45601.6178125</v>
      </c>
      <c r="C206" s="1" t="n">
        <v>46168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Allmännings- och besparingsskogar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37692-2023</t>
        </is>
      </c>
      <c r="B207" s="1" t="n">
        <v>45159.56984953704</v>
      </c>
      <c r="C207" s="1" t="n">
        <v>46168</v>
      </c>
      <c r="D207" t="inlineStr">
        <is>
          <t>ÖSTERGÖTLANDS LÄN</t>
        </is>
      </c>
      <c r="E207" t="inlineStr">
        <is>
          <t>SÖDERKÖPING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42753-2023</t>
        </is>
      </c>
      <c r="B208" s="1" t="n">
        <v>45181</v>
      </c>
      <c r="C208" s="1" t="n">
        <v>46168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41363-2023</t>
        </is>
      </c>
      <c r="B209" s="1" t="n">
        <v>45174</v>
      </c>
      <c r="C209" s="1" t="n">
        <v>46168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10369-2024</t>
        </is>
      </c>
      <c r="B210" s="1" t="n">
        <v>45365</v>
      </c>
      <c r="C210" s="1" t="n">
        <v>46168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2202-2026</t>
        </is>
      </c>
      <c r="B211" s="1" t="n">
        <v>46036.47854166666</v>
      </c>
      <c r="C211" s="1" t="n">
        <v>46168</v>
      </c>
      <c r="D211" t="inlineStr">
        <is>
          <t>ÖSTERGÖTLANDS LÄN</t>
        </is>
      </c>
      <c r="E211" t="inlineStr">
        <is>
          <t>SÖDERKÖPING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27464-2023</t>
        </is>
      </c>
      <c r="B212" s="1" t="n">
        <v>45097</v>
      </c>
      <c r="C212" s="1" t="n">
        <v>46168</v>
      </c>
      <c r="D212" t="inlineStr">
        <is>
          <t>ÖSTERGÖTLANDS LÄN</t>
        </is>
      </c>
      <c r="E212" t="inlineStr">
        <is>
          <t>SÖDERKÖPING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1399-2025</t>
        </is>
      </c>
      <c r="B213" s="1" t="n">
        <v>45667</v>
      </c>
      <c r="C213" s="1" t="n">
        <v>46168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2816-2026</t>
        </is>
      </c>
      <c r="B214" s="1" t="n">
        <v>46038</v>
      </c>
      <c r="C214" s="1" t="n">
        <v>46168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26912-2023</t>
        </is>
      </c>
      <c r="B215" s="1" t="n">
        <v>45093</v>
      </c>
      <c r="C215" s="1" t="n">
        <v>46168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21178-2024</t>
        </is>
      </c>
      <c r="B216" s="1" t="n">
        <v>45440.46841435185</v>
      </c>
      <c r="C216" s="1" t="n">
        <v>46168</v>
      </c>
      <c r="D216" t="inlineStr">
        <is>
          <t>ÖSTERGÖTLANDS LÄN</t>
        </is>
      </c>
      <c r="E216" t="inlineStr">
        <is>
          <t>SÖDERKÖPING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8999-2023</t>
        </is>
      </c>
      <c r="B217" s="1" t="n">
        <v>44979.56503472223</v>
      </c>
      <c r="C217" s="1" t="n">
        <v>46168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Allmännings- och besparingsskogar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53874-2025</t>
        </is>
      </c>
      <c r="B218" s="1" t="n">
        <v>45961.39364583333</v>
      </c>
      <c r="C218" s="1" t="n">
        <v>46168</v>
      </c>
      <c r="D218" t="inlineStr">
        <is>
          <t>ÖSTERGÖTLANDS LÄN</t>
        </is>
      </c>
      <c r="E218" t="inlineStr">
        <is>
          <t>SÖDERKÖPING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309-2024</t>
        </is>
      </c>
      <c r="B219" s="1" t="n">
        <v>45295.5071875</v>
      </c>
      <c r="C219" s="1" t="n">
        <v>46168</v>
      </c>
      <c r="D219" t="inlineStr">
        <is>
          <t>ÖSTERGÖTLANDS LÄN</t>
        </is>
      </c>
      <c r="E219" t="inlineStr">
        <is>
          <t>SÖDERKÖPING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20254-2023</t>
        </is>
      </c>
      <c r="B220" s="1" t="n">
        <v>45055</v>
      </c>
      <c r="C220" s="1" t="n">
        <v>46168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26594-2023</t>
        </is>
      </c>
      <c r="B221" s="1" t="n">
        <v>45092</v>
      </c>
      <c r="C221" s="1" t="n">
        <v>46168</v>
      </c>
      <c r="D221" t="inlineStr">
        <is>
          <t>ÖSTERGÖTLANDS LÄN</t>
        </is>
      </c>
      <c r="E221" t="inlineStr">
        <is>
          <t>SÖDERKÖPING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3913-2025</t>
        </is>
      </c>
      <c r="B222" s="1" t="n">
        <v>45684.42604166667</v>
      </c>
      <c r="C222" s="1" t="n">
        <v>46168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50040-2023</t>
        </is>
      </c>
      <c r="B223" s="1" t="n">
        <v>45215</v>
      </c>
      <c r="C223" s="1" t="n">
        <v>46168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Kyrkan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5412-2026</t>
        </is>
      </c>
      <c r="B224" s="1" t="n">
        <v>46050.53184027778</v>
      </c>
      <c r="C224" s="1" t="n">
        <v>46168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Kyrkan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5475-2026</t>
        </is>
      </c>
      <c r="B225" s="1" t="n">
        <v>46050.59915509259</v>
      </c>
      <c r="C225" s="1" t="n">
        <v>46168</v>
      </c>
      <c r="D225" t="inlineStr">
        <is>
          <t>ÖSTERGÖTLANDS LÄN</t>
        </is>
      </c>
      <c r="E225" t="inlineStr">
        <is>
          <t>SÖDERKÖPING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5471-2026</t>
        </is>
      </c>
      <c r="B226" s="1" t="n">
        <v>46050.59628472223</v>
      </c>
      <c r="C226" s="1" t="n">
        <v>46168</v>
      </c>
      <c r="D226" t="inlineStr">
        <is>
          <t>ÖSTERGÖTLANDS LÄN</t>
        </is>
      </c>
      <c r="E226" t="inlineStr">
        <is>
          <t>SÖDERKÖPING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33736-2023</t>
        </is>
      </c>
      <c r="B227" s="1" t="n">
        <v>45119</v>
      </c>
      <c r="C227" s="1" t="n">
        <v>46168</v>
      </c>
      <c r="D227" t="inlineStr">
        <is>
          <t>ÖSTERGÖTLANDS LÄN</t>
        </is>
      </c>
      <c r="E227" t="inlineStr">
        <is>
          <t>SÖDERKÖPING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44834-2023</t>
        </is>
      </c>
      <c r="B228" s="1" t="n">
        <v>45190</v>
      </c>
      <c r="C228" s="1" t="n">
        <v>46168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5072-2022</t>
        </is>
      </c>
      <c r="B229" s="1" t="n">
        <v>44593</v>
      </c>
      <c r="C229" s="1" t="n">
        <v>46168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7062-2025</t>
        </is>
      </c>
      <c r="B230" s="1" t="n">
        <v>45701.65701388889</v>
      </c>
      <c r="C230" s="1" t="n">
        <v>46168</v>
      </c>
      <c r="D230" t="inlineStr">
        <is>
          <t>ÖSTERGÖTLANDS LÄN</t>
        </is>
      </c>
      <c r="E230" t="inlineStr">
        <is>
          <t>SÖDERKÖPING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7063-2025</t>
        </is>
      </c>
      <c r="B231" s="1" t="n">
        <v>45701.66054398148</v>
      </c>
      <c r="C231" s="1" t="n">
        <v>46168</v>
      </c>
      <c r="D231" t="inlineStr">
        <is>
          <t>ÖSTERGÖTLANDS LÄN</t>
        </is>
      </c>
      <c r="E231" t="inlineStr">
        <is>
          <t>SÖDERKÖPING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9746-2022</t>
        </is>
      </c>
      <c r="B232" s="1" t="n">
        <v>44618</v>
      </c>
      <c r="C232" s="1" t="n">
        <v>46168</v>
      </c>
      <c r="D232" t="inlineStr">
        <is>
          <t>ÖSTERGÖTLANDS LÄN</t>
        </is>
      </c>
      <c r="E232" t="inlineStr">
        <is>
          <t>SÖDERKÖPING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6256-2026</t>
        </is>
      </c>
      <c r="B233" s="1" t="n">
        <v>46055</v>
      </c>
      <c r="C233" s="1" t="n">
        <v>46168</v>
      </c>
      <c r="D233" t="inlineStr">
        <is>
          <t>ÖSTERGÖTLANDS LÄN</t>
        </is>
      </c>
      <c r="E233" t="inlineStr">
        <is>
          <t>SÖDERKÖPING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21901-2022</t>
        </is>
      </c>
      <c r="B234" s="1" t="n">
        <v>44711.45055555556</v>
      </c>
      <c r="C234" s="1" t="n">
        <v>46168</v>
      </c>
      <c r="D234" t="inlineStr">
        <is>
          <t>ÖSTERGÖTLANDS LÄN</t>
        </is>
      </c>
      <c r="E234" t="inlineStr">
        <is>
          <t>SÖDERKÖPING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49367-2023</t>
        </is>
      </c>
      <c r="B235" s="1" t="n">
        <v>45211</v>
      </c>
      <c r="C235" s="1" t="n">
        <v>46168</v>
      </c>
      <c r="D235" t="inlineStr">
        <is>
          <t>ÖSTERGÖTLANDS LÄN</t>
        </is>
      </c>
      <c r="E235" t="inlineStr">
        <is>
          <t>SÖDERKÖPING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56166-2025</t>
        </is>
      </c>
      <c r="B236" s="1" t="n">
        <v>45974.38498842593</v>
      </c>
      <c r="C236" s="1" t="n">
        <v>46168</v>
      </c>
      <c r="D236" t="inlineStr">
        <is>
          <t>ÖSTERGÖTLANDS LÄN</t>
        </is>
      </c>
      <c r="E236" t="inlineStr">
        <is>
          <t>SÖDERKÖPING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6224-2026</t>
        </is>
      </c>
      <c r="B237" s="1" t="n">
        <v>46055</v>
      </c>
      <c r="C237" s="1" t="n">
        <v>46168</v>
      </c>
      <c r="D237" t="inlineStr">
        <is>
          <t>ÖSTERGÖTLANDS LÄN</t>
        </is>
      </c>
      <c r="E237" t="inlineStr">
        <is>
          <t>SÖDERKÖPING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6240-2026</t>
        </is>
      </c>
      <c r="B238" s="1" t="n">
        <v>46055</v>
      </c>
      <c r="C238" s="1" t="n">
        <v>46168</v>
      </c>
      <c r="D238" t="inlineStr">
        <is>
          <t>ÖSTERGÖTLANDS LÄN</t>
        </is>
      </c>
      <c r="E238" t="inlineStr">
        <is>
          <t>SÖDERKÖPING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6669-2026</t>
        </is>
      </c>
      <c r="B239" s="1" t="n">
        <v>46056</v>
      </c>
      <c r="C239" s="1" t="n">
        <v>46168</v>
      </c>
      <c r="D239" t="inlineStr">
        <is>
          <t>ÖSTERGÖTLANDS LÄN</t>
        </is>
      </c>
      <c r="E239" t="inlineStr">
        <is>
          <t>SÖDERKÖPING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56163-2025</t>
        </is>
      </c>
      <c r="B240" s="1" t="n">
        <v>45974.37890046297</v>
      </c>
      <c r="C240" s="1" t="n">
        <v>46168</v>
      </c>
      <c r="D240" t="inlineStr">
        <is>
          <t>ÖSTERGÖTLANDS LÄN</t>
        </is>
      </c>
      <c r="E240" t="inlineStr">
        <is>
          <t>SÖDERKÖPING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58730-2024</t>
        </is>
      </c>
      <c r="B241" s="1" t="n">
        <v>45635.67076388889</v>
      </c>
      <c r="C241" s="1" t="n">
        <v>46168</v>
      </c>
      <c r="D241" t="inlineStr">
        <is>
          <t>ÖSTERGÖTLANDS LÄN</t>
        </is>
      </c>
      <c r="E241" t="inlineStr">
        <is>
          <t>SÖDERKÖPING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6205-2026</t>
        </is>
      </c>
      <c r="B242" s="1" t="n">
        <v>46055.41913194444</v>
      </c>
      <c r="C242" s="1" t="n">
        <v>46168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46417-2023</t>
        </is>
      </c>
      <c r="B243" s="1" t="n">
        <v>45197</v>
      </c>
      <c r="C243" s="1" t="n">
        <v>46168</v>
      </c>
      <c r="D243" t="inlineStr">
        <is>
          <t>ÖSTERGÖTLANDS LÄN</t>
        </is>
      </c>
      <c r="E243" t="inlineStr">
        <is>
          <t>SÖDERKÖPING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3919-2025</t>
        </is>
      </c>
      <c r="B244" s="1" t="n">
        <v>45684.44605324074</v>
      </c>
      <c r="C244" s="1" t="n">
        <v>46168</v>
      </c>
      <c r="D244" t="inlineStr">
        <is>
          <t>ÖSTERGÖTLANDS LÄN</t>
        </is>
      </c>
      <c r="E244" t="inlineStr">
        <is>
          <t>SÖDERKÖPING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41958-2023</t>
        </is>
      </c>
      <c r="B245" s="1" t="n">
        <v>45174</v>
      </c>
      <c r="C245" s="1" t="n">
        <v>46168</v>
      </c>
      <c r="D245" t="inlineStr">
        <is>
          <t>ÖSTERGÖTLANDS LÄN</t>
        </is>
      </c>
      <c r="E245" t="inlineStr">
        <is>
          <t>SÖDERKÖPING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56874-2023</t>
        </is>
      </c>
      <c r="B246" s="1" t="n">
        <v>45244</v>
      </c>
      <c r="C246" s="1" t="n">
        <v>46168</v>
      </c>
      <c r="D246" t="inlineStr">
        <is>
          <t>ÖSTERGÖTLANDS LÄN</t>
        </is>
      </c>
      <c r="E246" t="inlineStr">
        <is>
          <t>SÖDERKÖPING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7852-2026</t>
        </is>
      </c>
      <c r="B247" s="1" t="n">
        <v>46062</v>
      </c>
      <c r="C247" s="1" t="n">
        <v>46168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57888-2022</t>
        </is>
      </c>
      <c r="B248" s="1" t="n">
        <v>44900</v>
      </c>
      <c r="C248" s="1" t="n">
        <v>46168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7847-2026</t>
        </is>
      </c>
      <c r="B249" s="1" t="n">
        <v>46061</v>
      </c>
      <c r="C249" s="1" t="n">
        <v>46168</v>
      </c>
      <c r="D249" t="inlineStr">
        <is>
          <t>ÖSTERGÖTLANDS LÄN</t>
        </is>
      </c>
      <c r="E249" t="inlineStr">
        <is>
          <t>SÖDERKÖPING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7440-2026</t>
        </is>
      </c>
      <c r="B250" s="1" t="n">
        <v>46059</v>
      </c>
      <c r="C250" s="1" t="n">
        <v>46168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7822-2026</t>
        </is>
      </c>
      <c r="B251" s="1" t="n">
        <v>46062</v>
      </c>
      <c r="C251" s="1" t="n">
        <v>46168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55772-2023</t>
        </is>
      </c>
      <c r="B252" s="1" t="n">
        <v>45239.48508101852</v>
      </c>
      <c r="C252" s="1" t="n">
        <v>46168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7830-2026</t>
        </is>
      </c>
      <c r="B253" s="1" t="n">
        <v>46061</v>
      </c>
      <c r="C253" s="1" t="n">
        <v>46168</v>
      </c>
      <c r="D253" t="inlineStr">
        <is>
          <t>ÖSTERGÖTLANDS LÄN</t>
        </is>
      </c>
      <c r="E253" t="inlineStr">
        <is>
          <t>SÖDERKÖPING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58372-2023</t>
        </is>
      </c>
      <c r="B254" s="1" t="n">
        <v>45250.65650462963</v>
      </c>
      <c r="C254" s="1" t="n">
        <v>46168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7836-2026</t>
        </is>
      </c>
      <c r="B255" s="1" t="n">
        <v>46062</v>
      </c>
      <c r="C255" s="1" t="n">
        <v>46168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58398-2023</t>
        </is>
      </c>
      <c r="B256" s="1" t="n">
        <v>45250.68373842593</v>
      </c>
      <c r="C256" s="1" t="n">
        <v>46168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7452-2026</t>
        </is>
      </c>
      <c r="B257" s="1" t="n">
        <v>46059</v>
      </c>
      <c r="C257" s="1" t="n">
        <v>46168</v>
      </c>
      <c r="D257" t="inlineStr">
        <is>
          <t>ÖSTERGÖTLANDS LÄN</t>
        </is>
      </c>
      <c r="E257" t="inlineStr">
        <is>
          <t>SÖDERKÖPING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43891-2023</t>
        </is>
      </c>
      <c r="B258" s="1" t="n">
        <v>45187.65685185185</v>
      </c>
      <c r="C258" s="1" t="n">
        <v>46168</v>
      </c>
      <c r="D258" t="inlineStr">
        <is>
          <t>ÖSTERGÖTLANDS LÄN</t>
        </is>
      </c>
      <c r="E258" t="inlineStr">
        <is>
          <t>SÖDERKÖPING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40357-2023</t>
        </is>
      </c>
      <c r="B259" s="1" t="n">
        <v>45169</v>
      </c>
      <c r="C259" s="1" t="n">
        <v>46168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17352-2025</t>
        </is>
      </c>
      <c r="B260" s="1" t="n">
        <v>45756</v>
      </c>
      <c r="C260" s="1" t="n">
        <v>46168</v>
      </c>
      <c r="D260" t="inlineStr">
        <is>
          <t>ÖSTERGÖTLANDS LÄN</t>
        </is>
      </c>
      <c r="E260" t="inlineStr">
        <is>
          <t>SÖDERKÖPING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17357-2025</t>
        </is>
      </c>
      <c r="B261" s="1" t="n">
        <v>45756</v>
      </c>
      <c r="C261" s="1" t="n">
        <v>46168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58456-2025</t>
        </is>
      </c>
      <c r="B262" s="1" t="n">
        <v>45985.6334375</v>
      </c>
      <c r="C262" s="1" t="n">
        <v>46168</v>
      </c>
      <c r="D262" t="inlineStr">
        <is>
          <t>ÖSTERGÖTLANDS LÄN</t>
        </is>
      </c>
      <c r="E262" t="inlineStr">
        <is>
          <t>SÖDERKÖPING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58450-2025</t>
        </is>
      </c>
      <c r="B263" s="1" t="n">
        <v>45985.62814814815</v>
      </c>
      <c r="C263" s="1" t="n">
        <v>46168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58463-2025</t>
        </is>
      </c>
      <c r="B264" s="1" t="n">
        <v>45985.63653935185</v>
      </c>
      <c r="C264" s="1" t="n">
        <v>46168</v>
      </c>
      <c r="D264" t="inlineStr">
        <is>
          <t>ÖSTERGÖTLANDS LÄN</t>
        </is>
      </c>
      <c r="E264" t="inlineStr">
        <is>
          <t>SÖDERKÖPING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10190-2025</t>
        </is>
      </c>
      <c r="B265" s="1" t="n">
        <v>45719.69598379629</v>
      </c>
      <c r="C265" s="1" t="n">
        <v>46168</v>
      </c>
      <c r="D265" t="inlineStr">
        <is>
          <t>ÖSTERGÖTLANDS LÄN</t>
        </is>
      </c>
      <c r="E265" t="inlineStr">
        <is>
          <t>SÖDERKÖPING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10194-2025</t>
        </is>
      </c>
      <c r="B266" s="1" t="n">
        <v>45719.69930555556</v>
      </c>
      <c r="C266" s="1" t="n">
        <v>46168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37684-2023</t>
        </is>
      </c>
      <c r="B267" s="1" t="n">
        <v>45159.56690972222</v>
      </c>
      <c r="C267" s="1" t="n">
        <v>46168</v>
      </c>
      <c r="D267" t="inlineStr">
        <is>
          <t>ÖSTERGÖTLANDS LÄN</t>
        </is>
      </c>
      <c r="E267" t="inlineStr">
        <is>
          <t>SÖDERKÖPING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37687-2023</t>
        </is>
      </c>
      <c r="B268" s="1" t="n">
        <v>45159.56805555556</v>
      </c>
      <c r="C268" s="1" t="n">
        <v>46168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9052-2026</t>
        </is>
      </c>
      <c r="B269" s="1" t="n">
        <v>46069</v>
      </c>
      <c r="C269" s="1" t="n">
        <v>46168</v>
      </c>
      <c r="D269" t="inlineStr">
        <is>
          <t>ÖSTERGÖTLANDS LÄN</t>
        </is>
      </c>
      <c r="E269" t="inlineStr">
        <is>
          <t>SÖDERKÖPING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29660-2022</t>
        </is>
      </c>
      <c r="B270" s="1" t="n">
        <v>44754.7230787037</v>
      </c>
      <c r="C270" s="1" t="n">
        <v>46168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10172-2026</t>
        </is>
      </c>
      <c r="B271" s="1" t="n">
        <v>46076.41994212963</v>
      </c>
      <c r="C271" s="1" t="n">
        <v>46168</v>
      </c>
      <c r="D271" t="inlineStr">
        <is>
          <t>ÖSTERGÖTLANDS LÄN</t>
        </is>
      </c>
      <c r="E271" t="inlineStr">
        <is>
          <t>SÖDERKÖPING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458-2024</t>
        </is>
      </c>
      <c r="B272" s="1" t="n">
        <v>45297</v>
      </c>
      <c r="C272" s="1" t="n">
        <v>46168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11005-2026</t>
        </is>
      </c>
      <c r="B273" s="1" t="n">
        <v>46079.50762731482</v>
      </c>
      <c r="C273" s="1" t="n">
        <v>46168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Kyrkan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59471-2023</t>
        </is>
      </c>
      <c r="B274" s="1" t="n">
        <v>45254</v>
      </c>
      <c r="C274" s="1" t="n">
        <v>46168</v>
      </c>
      <c r="D274" t="inlineStr">
        <is>
          <t>ÖSTERGÖTLANDS LÄN</t>
        </is>
      </c>
      <c r="E274" t="inlineStr">
        <is>
          <t>SÖDERKÖPING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8156-2023</t>
        </is>
      </c>
      <c r="B275" s="1" t="n">
        <v>44974.46912037037</v>
      </c>
      <c r="C275" s="1" t="n">
        <v>46168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61514-2023</t>
        </is>
      </c>
      <c r="B276" s="1" t="n">
        <v>45265</v>
      </c>
      <c r="C276" s="1" t="n">
        <v>46168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13625-2025</t>
        </is>
      </c>
      <c r="B277" s="1" t="n">
        <v>45736.63921296296</v>
      </c>
      <c r="C277" s="1" t="n">
        <v>46168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54787-2022</t>
        </is>
      </c>
      <c r="B278" s="1" t="n">
        <v>44883</v>
      </c>
      <c r="C278" s="1" t="n">
        <v>46168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61814-2025</t>
        </is>
      </c>
      <c r="B279" s="1" t="n">
        <v>46003.28984953704</v>
      </c>
      <c r="C279" s="1" t="n">
        <v>46168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11616-2026</t>
        </is>
      </c>
      <c r="B280" s="1" t="n">
        <v>46084.45364583333</v>
      </c>
      <c r="C280" s="1" t="n">
        <v>46168</v>
      </c>
      <c r="D280" t="inlineStr">
        <is>
          <t>ÖSTERGÖTLANDS LÄN</t>
        </is>
      </c>
      <c r="E280" t="inlineStr">
        <is>
          <t>SÖDERKÖPING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11619-2026</t>
        </is>
      </c>
      <c r="B281" s="1" t="n">
        <v>46084.46113425926</v>
      </c>
      <c r="C281" s="1" t="n">
        <v>46168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61813-2025</t>
        </is>
      </c>
      <c r="B282" s="1" t="n">
        <v>46003.28515046297</v>
      </c>
      <c r="C282" s="1" t="n">
        <v>46168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61816-2025</t>
        </is>
      </c>
      <c r="B283" s="1" t="n">
        <v>46003.29744212963</v>
      </c>
      <c r="C283" s="1" t="n">
        <v>46168</v>
      </c>
      <c r="D283" t="inlineStr">
        <is>
          <t>ÖSTERGÖTLANDS LÄN</t>
        </is>
      </c>
      <c r="E283" t="inlineStr">
        <is>
          <t>SÖDERKÖPING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61817-2025</t>
        </is>
      </c>
      <c r="B284" s="1" t="n">
        <v>46003.30361111111</v>
      </c>
      <c r="C284" s="1" t="n">
        <v>46168</v>
      </c>
      <c r="D284" t="inlineStr">
        <is>
          <t>ÖSTERGÖTLANDS LÄN</t>
        </is>
      </c>
      <c r="E284" t="inlineStr">
        <is>
          <t>SÖDERKÖPING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43889-2023</t>
        </is>
      </c>
      <c r="B285" s="1" t="n">
        <v>45187.65445601852</v>
      </c>
      <c r="C285" s="1" t="n">
        <v>46168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62724-2025</t>
        </is>
      </c>
      <c r="B286" s="1" t="n">
        <v>46008.54895833333</v>
      </c>
      <c r="C286" s="1" t="n">
        <v>46168</v>
      </c>
      <c r="D286" t="inlineStr">
        <is>
          <t>ÖSTERGÖTLANDS LÄN</t>
        </is>
      </c>
      <c r="E286" t="inlineStr">
        <is>
          <t>SÖDERKÖPING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31628-2022</t>
        </is>
      </c>
      <c r="B287" s="1" t="n">
        <v>44775</v>
      </c>
      <c r="C287" s="1" t="n">
        <v>46168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62730-2025</t>
        </is>
      </c>
      <c r="B288" s="1" t="n">
        <v>46008.5571875</v>
      </c>
      <c r="C288" s="1" t="n">
        <v>46168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46422-2023</t>
        </is>
      </c>
      <c r="B289" s="1" t="n">
        <v>45197.55799768519</v>
      </c>
      <c r="C289" s="1" t="n">
        <v>46168</v>
      </c>
      <c r="D289" t="inlineStr">
        <is>
          <t>ÖSTERGÖTLANDS LÄN</t>
        </is>
      </c>
      <c r="E289" t="inlineStr">
        <is>
          <t>SÖDERKÖPING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63236-2025</t>
        </is>
      </c>
      <c r="B290" s="1" t="n">
        <v>46010.51506944445</v>
      </c>
      <c r="C290" s="1" t="n">
        <v>46168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45549-2023</t>
        </is>
      </c>
      <c r="B291" s="1" t="n">
        <v>45194.57081018519</v>
      </c>
      <c r="C291" s="1" t="n">
        <v>46168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6419-2023</t>
        </is>
      </c>
      <c r="B292" s="1" t="n">
        <v>44965</v>
      </c>
      <c r="C292" s="1" t="n">
        <v>46168</v>
      </c>
      <c r="D292" t="inlineStr">
        <is>
          <t>ÖSTERGÖTLANDS LÄN</t>
        </is>
      </c>
      <c r="E292" t="inlineStr">
        <is>
          <t>SÖDERKÖPING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58227-2022</t>
        </is>
      </c>
      <c r="B293" s="1" t="n">
        <v>44901.38127314814</v>
      </c>
      <c r="C293" s="1" t="n">
        <v>46168</v>
      </c>
      <c r="D293" t="inlineStr">
        <is>
          <t>ÖSTERGÖTLANDS LÄN</t>
        </is>
      </c>
      <c r="E293" t="inlineStr">
        <is>
          <t>SÖDERKÖPING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50873-2023</t>
        </is>
      </c>
      <c r="B294" s="1" t="n">
        <v>45218.36673611111</v>
      </c>
      <c r="C294" s="1" t="n">
        <v>46168</v>
      </c>
      <c r="D294" t="inlineStr">
        <is>
          <t>ÖSTERGÖTLANDS LÄN</t>
        </is>
      </c>
      <c r="E294" t="inlineStr">
        <is>
          <t>SÖDERKÖPING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69425-2021</t>
        </is>
      </c>
      <c r="B295" s="1" t="n">
        <v>44531</v>
      </c>
      <c r="C295" s="1" t="n">
        <v>46168</v>
      </c>
      <c r="D295" t="inlineStr">
        <is>
          <t>ÖSTERGÖTLANDS LÄN</t>
        </is>
      </c>
      <c r="E295" t="inlineStr">
        <is>
          <t>SÖDERKÖPING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20250-2026</t>
        </is>
      </c>
      <c r="B296" s="1" t="n">
        <v>46139.48142361111</v>
      </c>
      <c r="C296" s="1" t="n">
        <v>46168</v>
      </c>
      <c r="D296" t="inlineStr">
        <is>
          <t>ÖSTERGÖTLANDS LÄN</t>
        </is>
      </c>
      <c r="E296" t="inlineStr">
        <is>
          <t>SÖDERKÖPING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20301-2026</t>
        </is>
      </c>
      <c r="B297" s="1" t="n">
        <v>46139.57552083334</v>
      </c>
      <c r="C297" s="1" t="n">
        <v>46168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20258-2026</t>
        </is>
      </c>
      <c r="B298" s="1" t="n">
        <v>46139.4921412037</v>
      </c>
      <c r="C298" s="1" t="n">
        <v>46168</v>
      </c>
      <c r="D298" t="inlineStr">
        <is>
          <t>ÖSTERGÖTLANDS LÄN</t>
        </is>
      </c>
      <c r="E298" t="inlineStr">
        <is>
          <t>SÖDERKÖPING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14579-2025</t>
        </is>
      </c>
      <c r="B299" s="1" t="n">
        <v>45742.30456018518</v>
      </c>
      <c r="C299" s="1" t="n">
        <v>46168</v>
      </c>
      <c r="D299" t="inlineStr">
        <is>
          <t>ÖSTERGÖTLANDS LÄN</t>
        </is>
      </c>
      <c r="E299" t="inlineStr">
        <is>
          <t>SÖDERKÖPING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64825-2023</t>
        </is>
      </c>
      <c r="B300" s="1" t="n">
        <v>45282</v>
      </c>
      <c r="C300" s="1" t="n">
        <v>46168</v>
      </c>
      <c r="D300" t="inlineStr">
        <is>
          <t>ÖSTERGÖTLANDS LÄN</t>
        </is>
      </c>
      <c r="E300" t="inlineStr">
        <is>
          <t>SÖDERKÖPING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38646-2024</t>
        </is>
      </c>
      <c r="B301" s="1" t="n">
        <v>45546.86643518518</v>
      </c>
      <c r="C301" s="1" t="n">
        <v>46168</v>
      </c>
      <c r="D301" t="inlineStr">
        <is>
          <t>ÖSTERGÖTLANDS LÄN</t>
        </is>
      </c>
      <c r="E301" t="inlineStr">
        <is>
          <t>SÖDERKÖPING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19974-2026</t>
        </is>
      </c>
      <c r="B302" s="1" t="n">
        <v>46136.43716435185</v>
      </c>
      <c r="C302" s="1" t="n">
        <v>46168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45457-2023</t>
        </is>
      </c>
      <c r="B303" s="1" t="n">
        <v>45194</v>
      </c>
      <c r="C303" s="1" t="n">
        <v>46168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20265-2026</t>
        </is>
      </c>
      <c r="B304" s="1" t="n">
        <v>46139.499375</v>
      </c>
      <c r="C304" s="1" t="n">
        <v>46168</v>
      </c>
      <c r="D304" t="inlineStr">
        <is>
          <t>ÖSTERGÖTLANDS LÄN</t>
        </is>
      </c>
      <c r="E304" t="inlineStr">
        <is>
          <t>SÖDERKÖPING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20262-2026</t>
        </is>
      </c>
      <c r="B305" s="1" t="n">
        <v>46139.49521990741</v>
      </c>
      <c r="C305" s="1" t="n">
        <v>46168</v>
      </c>
      <c r="D305" t="inlineStr">
        <is>
          <t>ÖSTERGÖTLANDS LÄN</t>
        </is>
      </c>
      <c r="E305" t="inlineStr">
        <is>
          <t>SÖDERKÖPING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20269-2026</t>
        </is>
      </c>
      <c r="B306" s="1" t="n">
        <v>46139.51384259259</v>
      </c>
      <c r="C306" s="1" t="n">
        <v>46168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3786-2023</t>
        </is>
      </c>
      <c r="B307" s="1" t="n">
        <v>44951.5440625</v>
      </c>
      <c r="C307" s="1" t="n">
        <v>46168</v>
      </c>
      <c r="D307" t="inlineStr">
        <is>
          <t>ÖSTERGÖTLANDS LÄN</t>
        </is>
      </c>
      <c r="E307" t="inlineStr">
        <is>
          <t>SÖDERKÖPING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20703-2026</t>
        </is>
      </c>
      <c r="B308" s="1" t="n">
        <v>46141.4831712963</v>
      </c>
      <c r="C308" s="1" t="n">
        <v>46168</v>
      </c>
      <c r="D308" t="inlineStr">
        <is>
          <t>ÖSTERGÖTLANDS LÄN</t>
        </is>
      </c>
      <c r="E308" t="inlineStr">
        <is>
          <t>SÖDERKÖPING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50051-2023</t>
        </is>
      </c>
      <c r="B309" s="1" t="n">
        <v>45215.50618055555</v>
      </c>
      <c r="C309" s="1" t="n">
        <v>46168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55853-2022</t>
        </is>
      </c>
      <c r="B310" s="1" t="n">
        <v>44888</v>
      </c>
      <c r="C310" s="1" t="n">
        <v>46168</v>
      </c>
      <c r="D310" t="inlineStr">
        <is>
          <t>ÖSTERGÖTLANDS LÄN</t>
        </is>
      </c>
      <c r="E310" t="inlineStr">
        <is>
          <t>SÖDERKÖPING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20688-2026</t>
        </is>
      </c>
      <c r="B311" s="1" t="n">
        <v>46141.45582175926</v>
      </c>
      <c r="C311" s="1" t="n">
        <v>46168</v>
      </c>
      <c r="D311" t="inlineStr">
        <is>
          <t>ÖSTERGÖTLANDS LÄN</t>
        </is>
      </c>
      <c r="E311" t="inlineStr">
        <is>
          <t>SÖDERKÖPING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66362-2021</t>
        </is>
      </c>
      <c r="B312" s="1" t="n">
        <v>44518</v>
      </c>
      <c r="C312" s="1" t="n">
        <v>46168</v>
      </c>
      <c r="D312" t="inlineStr">
        <is>
          <t>ÖSTERGÖTLANDS LÄN</t>
        </is>
      </c>
      <c r="E312" t="inlineStr">
        <is>
          <t>SÖDERKÖPING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15599-2025</t>
        </is>
      </c>
      <c r="B313" s="1" t="n">
        <v>45747.93793981482</v>
      </c>
      <c r="C313" s="1" t="n">
        <v>46168</v>
      </c>
      <c r="D313" t="inlineStr">
        <is>
          <t>ÖSTERGÖTLANDS LÄN</t>
        </is>
      </c>
      <c r="E313" t="inlineStr">
        <is>
          <t>SÖDERKÖPING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56213-2022</t>
        </is>
      </c>
      <c r="B314" s="1" t="n">
        <v>44890</v>
      </c>
      <c r="C314" s="1" t="n">
        <v>46168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20684-2026</t>
        </is>
      </c>
      <c r="B315" s="1" t="n">
        <v>46141.45234953704</v>
      </c>
      <c r="C315" s="1" t="n">
        <v>46168</v>
      </c>
      <c r="D315" t="inlineStr">
        <is>
          <t>ÖSTERGÖTLANDS LÄN</t>
        </is>
      </c>
      <c r="E315" t="inlineStr">
        <is>
          <t>SÖDERKÖPING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20705-2026</t>
        </is>
      </c>
      <c r="B316" s="1" t="n">
        <v>46141.48530092592</v>
      </c>
      <c r="C316" s="1" t="n">
        <v>46168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48395-2021</t>
        </is>
      </c>
      <c r="B317" s="1" t="n">
        <v>44452.3075</v>
      </c>
      <c r="C317" s="1" t="n">
        <v>46168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14552-2026</t>
        </is>
      </c>
      <c r="B318" s="1" t="n">
        <v>46100</v>
      </c>
      <c r="C318" s="1" t="n">
        <v>46168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14777-2026</t>
        </is>
      </c>
      <c r="B319" s="1" t="n">
        <v>46101.65144675926</v>
      </c>
      <c r="C319" s="1" t="n">
        <v>46168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14776-2026</t>
        </is>
      </c>
      <c r="B320" s="1" t="n">
        <v>46101.64900462963</v>
      </c>
      <c r="C320" s="1" t="n">
        <v>46168</v>
      </c>
      <c r="D320" t="inlineStr">
        <is>
          <t>ÖSTERGÖTLANDS LÄN</t>
        </is>
      </c>
      <c r="E320" t="inlineStr">
        <is>
          <t>SÖDERKÖPING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42355-2023</t>
        </is>
      </c>
      <c r="B321" s="1" t="n">
        <v>45180</v>
      </c>
      <c r="C321" s="1" t="n">
        <v>46168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Allmännings- och besparingsskogar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51748-2023</t>
        </is>
      </c>
      <c r="B322" s="1" t="n">
        <v>45222.67434027778</v>
      </c>
      <c r="C322" s="1" t="n">
        <v>46168</v>
      </c>
      <c r="D322" t="inlineStr">
        <is>
          <t>ÖSTERGÖTLANDS LÄN</t>
        </is>
      </c>
      <c r="E322" t="inlineStr">
        <is>
          <t>SÖDERKÖPING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56861-2023</t>
        </is>
      </c>
      <c r="B323" s="1" t="n">
        <v>45244</v>
      </c>
      <c r="C323" s="1" t="n">
        <v>46168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9002-2023</t>
        </is>
      </c>
      <c r="B324" s="1" t="n">
        <v>44979</v>
      </c>
      <c r="C324" s="1" t="n">
        <v>46168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Allmännings- och besparingsskogar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29374-2022</t>
        </is>
      </c>
      <c r="B325" s="1" t="n">
        <v>44753.39758101852</v>
      </c>
      <c r="C325" s="1" t="n">
        <v>46168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21042-2026</t>
        </is>
      </c>
      <c r="B326" s="1" t="n">
        <v>46146.35800925926</v>
      </c>
      <c r="C326" s="1" t="n">
        <v>46168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49227-2022</t>
        </is>
      </c>
      <c r="B327" s="1" t="n">
        <v>44861</v>
      </c>
      <c r="C327" s="1" t="n">
        <v>46168</v>
      </c>
      <c r="D327" t="inlineStr">
        <is>
          <t>ÖSTERGÖTLANDS LÄN</t>
        </is>
      </c>
      <c r="E327" t="inlineStr">
        <is>
          <t>SÖDERKÖPING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20065-2025</t>
        </is>
      </c>
      <c r="B328" s="1" t="n">
        <v>45772</v>
      </c>
      <c r="C328" s="1" t="n">
        <v>46168</v>
      </c>
      <c r="D328" t="inlineStr">
        <is>
          <t>ÖSTERGÖTLANDS LÄN</t>
        </is>
      </c>
      <c r="E328" t="inlineStr">
        <is>
          <t>SÖDERKÖPING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20967-2023</t>
        </is>
      </c>
      <c r="B329" s="1" t="n">
        <v>45061</v>
      </c>
      <c r="C329" s="1" t="n">
        <v>46168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60640-2022</t>
        </is>
      </c>
      <c r="B330" s="1" t="n">
        <v>44911</v>
      </c>
      <c r="C330" s="1" t="n">
        <v>46168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8799-2023</t>
        </is>
      </c>
      <c r="B331" s="1" t="n">
        <v>44978</v>
      </c>
      <c r="C331" s="1" t="n">
        <v>46168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15462-2026</t>
        </is>
      </c>
      <c r="B332" s="1" t="n">
        <v>46106.42597222222</v>
      </c>
      <c r="C332" s="1" t="n">
        <v>46168</v>
      </c>
      <c r="D332" t="inlineStr">
        <is>
          <t>ÖSTERGÖTLANDS LÄN</t>
        </is>
      </c>
      <c r="E332" t="inlineStr">
        <is>
          <t>SÖDERKÖPING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21898-2026</t>
        </is>
      </c>
      <c r="B333" s="1" t="n">
        <v>46150.6084375</v>
      </c>
      <c r="C333" s="1" t="n">
        <v>46168</v>
      </c>
      <c r="D333" t="inlineStr">
        <is>
          <t>ÖSTERGÖTLANDS LÄN</t>
        </is>
      </c>
      <c r="E333" t="inlineStr">
        <is>
          <t>SÖDERKÖPING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57027-2024</t>
        </is>
      </c>
      <c r="B334" s="1" t="n">
        <v>45628.83202546297</v>
      </c>
      <c r="C334" s="1" t="n">
        <v>46168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21903-2026</t>
        </is>
      </c>
      <c r="B335" s="1" t="n">
        <v>46150.61524305555</v>
      </c>
      <c r="C335" s="1" t="n">
        <v>46168</v>
      </c>
      <c r="D335" t="inlineStr">
        <is>
          <t>ÖSTERGÖTLANDS LÄN</t>
        </is>
      </c>
      <c r="E335" t="inlineStr">
        <is>
          <t>SÖDERKÖPING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53315-2024</t>
        </is>
      </c>
      <c r="B336" s="1" t="n">
        <v>45614</v>
      </c>
      <c r="C336" s="1" t="n">
        <v>46168</v>
      </c>
      <c r="D336" t="inlineStr">
        <is>
          <t>ÖSTERGÖTLANDS LÄN</t>
        </is>
      </c>
      <c r="E336" t="inlineStr">
        <is>
          <t>SÖDERKÖPING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22208-2026</t>
        </is>
      </c>
      <c r="B337" s="1" t="n">
        <v>46153.685625</v>
      </c>
      <c r="C337" s="1" t="n">
        <v>46168</v>
      </c>
      <c r="D337" t="inlineStr">
        <is>
          <t>ÖSTERGÖTLANDS LÄN</t>
        </is>
      </c>
      <c r="E337" t="inlineStr">
        <is>
          <t>SÖDERKÖPING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16232-2026</t>
        </is>
      </c>
      <c r="B338" s="1" t="n">
        <v>46111.45375</v>
      </c>
      <c r="C338" s="1" t="n">
        <v>46168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16246-2026</t>
        </is>
      </c>
      <c r="B339" s="1" t="n">
        <v>46111.46142361111</v>
      </c>
      <c r="C339" s="1" t="n">
        <v>46168</v>
      </c>
      <c r="D339" t="inlineStr">
        <is>
          <t>ÖSTERGÖTLANDS LÄN</t>
        </is>
      </c>
      <c r="E339" t="inlineStr">
        <is>
          <t>SÖDERKÖPING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16248-2026</t>
        </is>
      </c>
      <c r="B340" s="1" t="n">
        <v>46111.46697916667</v>
      </c>
      <c r="C340" s="1" t="n">
        <v>46168</v>
      </c>
      <c r="D340" t="inlineStr">
        <is>
          <t>ÖSTERGÖTLANDS LÄN</t>
        </is>
      </c>
      <c r="E340" t="inlineStr">
        <is>
          <t>SÖDERKÖPING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16254-2026</t>
        </is>
      </c>
      <c r="B341" s="1" t="n">
        <v>46111.47090277778</v>
      </c>
      <c r="C341" s="1" t="n">
        <v>46168</v>
      </c>
      <c r="D341" t="inlineStr">
        <is>
          <t>ÖSTERGÖTLANDS LÄN</t>
        </is>
      </c>
      <c r="E341" t="inlineStr">
        <is>
          <t>SÖDERKÖPING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16319-2026</t>
        </is>
      </c>
      <c r="B342" s="1" t="n">
        <v>46111.55780092593</v>
      </c>
      <c r="C342" s="1" t="n">
        <v>46168</v>
      </c>
      <c r="D342" t="inlineStr">
        <is>
          <t>ÖSTERGÖTLANDS LÄN</t>
        </is>
      </c>
      <c r="E342" t="inlineStr">
        <is>
          <t>SÖDERKÖPING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46168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53889-2021</t>
        </is>
      </c>
      <c r="B344" s="1" t="n">
        <v>44469.69513888889</v>
      </c>
      <c r="C344" s="1" t="n">
        <v>46168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25790-2023</t>
        </is>
      </c>
      <c r="B345" s="1" t="n">
        <v>45090</v>
      </c>
      <c r="C345" s="1" t="n">
        <v>46168</v>
      </c>
      <c r="D345" t="inlineStr">
        <is>
          <t>ÖSTERGÖTLANDS LÄN</t>
        </is>
      </c>
      <c r="E345" t="inlineStr">
        <is>
          <t>SÖDERKÖPING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17360-2025</t>
        </is>
      </c>
      <c r="B346" s="1" t="n">
        <v>45756</v>
      </c>
      <c r="C346" s="1" t="n">
        <v>46168</v>
      </c>
      <c r="D346" t="inlineStr">
        <is>
          <t>ÖSTERGÖTLANDS LÄN</t>
        </is>
      </c>
      <c r="E346" t="inlineStr">
        <is>
          <t>SÖDERKÖPING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17361-2025</t>
        </is>
      </c>
      <c r="B347" s="1" t="n">
        <v>45756</v>
      </c>
      <c r="C347" s="1" t="n">
        <v>46168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7208-2024</t>
        </is>
      </c>
      <c r="B348" s="1" t="n">
        <v>45344.61145833333</v>
      </c>
      <c r="C348" s="1" t="n">
        <v>46168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30438-2022</t>
        </is>
      </c>
      <c r="B349" s="1" t="n">
        <v>44761</v>
      </c>
      <c r="C349" s="1" t="n">
        <v>46168</v>
      </c>
      <c r="D349" t="inlineStr">
        <is>
          <t>ÖSTERGÖTLANDS LÄN</t>
        </is>
      </c>
      <c r="E349" t="inlineStr">
        <is>
          <t>SÖDERKÖPING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50870-2023</t>
        </is>
      </c>
      <c r="B350" s="1" t="n">
        <v>45218.36380787037</v>
      </c>
      <c r="C350" s="1" t="n">
        <v>46168</v>
      </c>
      <c r="D350" t="inlineStr">
        <is>
          <t>ÖSTERGÖTLANDS LÄN</t>
        </is>
      </c>
      <c r="E350" t="inlineStr">
        <is>
          <t>SÖDERKÖPING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22471-2026</t>
        </is>
      </c>
      <c r="B351" s="1" t="n">
        <v>46155.39452546297</v>
      </c>
      <c r="C351" s="1" t="n">
        <v>46168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22482-2026</t>
        </is>
      </c>
      <c r="B352" s="1" t="n">
        <v>46155</v>
      </c>
      <c r="C352" s="1" t="n">
        <v>46168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23120-2026</t>
        </is>
      </c>
      <c r="B353" s="1" t="n">
        <v>46161.59434027778</v>
      </c>
      <c r="C353" s="1" t="n">
        <v>46168</v>
      </c>
      <c r="D353" t="inlineStr">
        <is>
          <t>ÖSTERGÖTLANDS LÄN</t>
        </is>
      </c>
      <c r="E353" t="inlineStr">
        <is>
          <t>SÖDERKÖPING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23100-2026</t>
        </is>
      </c>
      <c r="B354" s="1" t="n">
        <v>46161.56434027778</v>
      </c>
      <c r="C354" s="1" t="n">
        <v>46168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57349-2023</t>
        </is>
      </c>
      <c r="B355" s="1" t="n">
        <v>45245</v>
      </c>
      <c r="C355" s="1" t="n">
        <v>46168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7902-2025</t>
        </is>
      </c>
      <c r="B356" s="1" t="n">
        <v>45707</v>
      </c>
      <c r="C356" s="1" t="n">
        <v>46168</v>
      </c>
      <c r="D356" t="inlineStr">
        <is>
          <t>ÖSTERGÖTLANDS LÄN</t>
        </is>
      </c>
      <c r="E356" t="inlineStr">
        <is>
          <t>SÖDERKÖPING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46168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33733-2023</t>
        </is>
      </c>
      <c r="B358" s="1" t="n">
        <v>45119</v>
      </c>
      <c r="C358" s="1" t="n">
        <v>46168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31313-2024</t>
        </is>
      </c>
      <c r="B359" s="1" t="n">
        <v>45504</v>
      </c>
      <c r="C359" s="1" t="n">
        <v>46168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20776-2023</t>
        </is>
      </c>
      <c r="B360" s="1" t="n">
        <v>45058.5816087963</v>
      </c>
      <c r="C360" s="1" t="n">
        <v>46168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41134-2024</t>
        </is>
      </c>
      <c r="B361" s="1" t="n">
        <v>45559.46480324074</v>
      </c>
      <c r="C361" s="1" t="n">
        <v>46168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61802-2022</t>
        </is>
      </c>
      <c r="B362" s="1" t="n">
        <v>44917</v>
      </c>
      <c r="C362" s="1" t="n">
        <v>46168</v>
      </c>
      <c r="D362" t="inlineStr">
        <is>
          <t>ÖSTERGÖTLANDS LÄN</t>
        </is>
      </c>
      <c r="E362" t="inlineStr">
        <is>
          <t>SÖDERKÖPING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60605-2022</t>
        </is>
      </c>
      <c r="B363" s="1" t="n">
        <v>44911</v>
      </c>
      <c r="C363" s="1" t="n">
        <v>46168</v>
      </c>
      <c r="D363" t="inlineStr">
        <is>
          <t>ÖSTERGÖTLANDS LÄN</t>
        </is>
      </c>
      <c r="E363" t="inlineStr">
        <is>
          <t>SÖDERKÖPING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11673-2023</t>
        </is>
      </c>
      <c r="B364" s="1" t="n">
        <v>44994.48273148148</v>
      </c>
      <c r="C364" s="1" t="n">
        <v>46168</v>
      </c>
      <c r="D364" t="inlineStr">
        <is>
          <t>ÖSTERGÖTLANDS LÄN</t>
        </is>
      </c>
      <c r="E364" t="inlineStr">
        <is>
          <t>SÖDERKÖPING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17632-2026</t>
        </is>
      </c>
      <c r="B365" s="1" t="n">
        <v>46121.47884259259</v>
      </c>
      <c r="C365" s="1" t="n">
        <v>46168</v>
      </c>
      <c r="D365" t="inlineStr">
        <is>
          <t>ÖSTERGÖTLANDS LÄN</t>
        </is>
      </c>
      <c r="E365" t="inlineStr">
        <is>
          <t>SÖDERKÖPING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40351-2023</t>
        </is>
      </c>
      <c r="B366" s="1" t="n">
        <v>45169</v>
      </c>
      <c r="C366" s="1" t="n">
        <v>46168</v>
      </c>
      <c r="D366" t="inlineStr">
        <is>
          <t>ÖSTERGÖTLANDS LÄN</t>
        </is>
      </c>
      <c r="E366" t="inlineStr">
        <is>
          <t>SÖDERKÖPING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40356-2023</t>
        </is>
      </c>
      <c r="B367" s="1" t="n">
        <v>45169</v>
      </c>
      <c r="C367" s="1" t="n">
        <v>46168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58223-2022</t>
        </is>
      </c>
      <c r="B368" s="1" t="n">
        <v>44901.37307870371</v>
      </c>
      <c r="C368" s="1" t="n">
        <v>46168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23756-2026</t>
        </is>
      </c>
      <c r="B369" s="1" t="n">
        <v>46164.54931712963</v>
      </c>
      <c r="C369" s="1" t="n">
        <v>46168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1247-2022</t>
        </is>
      </c>
      <c r="B370" s="1" t="n">
        <v>44572</v>
      </c>
      <c r="C370" s="1" t="n">
        <v>46168</v>
      </c>
      <c r="D370" t="inlineStr">
        <is>
          <t>ÖSTERGÖTLANDS LÄN</t>
        </is>
      </c>
      <c r="E370" t="inlineStr">
        <is>
          <t>SÖDERKÖPING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21893-2026</t>
        </is>
      </c>
      <c r="B371" s="1" t="n">
        <v>46150.60145833333</v>
      </c>
      <c r="C371" s="1" t="n">
        <v>46168</v>
      </c>
      <c r="D371" t="inlineStr">
        <is>
          <t>ÖSTERGÖTLANDS LÄN</t>
        </is>
      </c>
      <c r="E371" t="inlineStr">
        <is>
          <t>SÖDERKÖPING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26432-2022</t>
        </is>
      </c>
      <c r="B372" s="1" t="n">
        <v>44736.4803587963</v>
      </c>
      <c r="C372" s="1" t="n">
        <v>46168</v>
      </c>
      <c r="D372" t="inlineStr">
        <is>
          <t>ÖSTERGÖTLANDS LÄN</t>
        </is>
      </c>
      <c r="E372" t="inlineStr">
        <is>
          <t>SÖDERKÖPING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57255-2024</t>
        </is>
      </c>
      <c r="B373" s="1" t="n">
        <v>45629</v>
      </c>
      <c r="C373" s="1" t="n">
        <v>46168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23785-2026</t>
        </is>
      </c>
      <c r="B374" s="1" t="n">
        <v>46164.60054398148</v>
      </c>
      <c r="C374" s="1" t="n">
        <v>46168</v>
      </c>
      <c r="D374" t="inlineStr">
        <is>
          <t>ÖSTERGÖTLANDS LÄN</t>
        </is>
      </c>
      <c r="E374" t="inlineStr">
        <is>
          <t>SÖDERKÖPING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618-2025</t>
        </is>
      </c>
      <c r="B375" s="1" t="n">
        <v>45664</v>
      </c>
      <c r="C375" s="1" t="n">
        <v>46168</v>
      </c>
      <c r="D375" t="inlineStr">
        <is>
          <t>ÖSTERGÖTLANDS LÄN</t>
        </is>
      </c>
      <c r="E375" t="inlineStr">
        <is>
          <t>SÖDERKÖPING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2951-2024</t>
        </is>
      </c>
      <c r="B376" s="1" t="n">
        <v>45315</v>
      </c>
      <c r="C376" s="1" t="n">
        <v>46168</v>
      </c>
      <c r="D376" t="inlineStr">
        <is>
          <t>ÖSTERGÖTLANDS LÄN</t>
        </is>
      </c>
      <c r="E376" t="inlineStr">
        <is>
          <t>SÖDERKÖPING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19661-2026</t>
        </is>
      </c>
      <c r="B377" s="1" t="n">
        <v>46134</v>
      </c>
      <c r="C377" s="1" t="n">
        <v>46168</v>
      </c>
      <c r="D377" t="inlineStr">
        <is>
          <t>ÖSTERGÖTLANDS LÄN</t>
        </is>
      </c>
      <c r="E377" t="inlineStr">
        <is>
          <t>SÖDERKÖPING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75-2024</t>
        </is>
      </c>
      <c r="B378" s="1" t="n">
        <v>45293.68796296296</v>
      </c>
      <c r="C378" s="1" t="n">
        <v>46168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50708-2024</t>
        </is>
      </c>
      <c r="B379" s="1" t="n">
        <v>45601</v>
      </c>
      <c r="C379" s="1" t="n">
        <v>46168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13606-2025</t>
        </is>
      </c>
      <c r="B380" s="1" t="n">
        <v>45736.61449074074</v>
      </c>
      <c r="C380" s="1" t="n">
        <v>46168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Holmen skog AB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45476-2023</t>
        </is>
      </c>
      <c r="B381" s="1" t="n">
        <v>45194.44329861111</v>
      </c>
      <c r="C381" s="1" t="n">
        <v>46168</v>
      </c>
      <c r="D381" t="inlineStr">
        <is>
          <t>ÖSTERGÖTLANDS LÄN</t>
        </is>
      </c>
      <c r="E381" t="inlineStr">
        <is>
          <t>SÖDERKÖPING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356-2024</t>
        </is>
      </c>
      <c r="B382" s="1" t="n">
        <v>45295</v>
      </c>
      <c r="C382" s="1" t="n">
        <v>46168</v>
      </c>
      <c r="D382" t="inlineStr">
        <is>
          <t>ÖSTERGÖTLANDS LÄN</t>
        </is>
      </c>
      <c r="E382" t="inlineStr">
        <is>
          <t>SÖDERKÖPING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16286-2023</t>
        </is>
      </c>
      <c r="B383" s="1" t="n">
        <v>45028</v>
      </c>
      <c r="C383" s="1" t="n">
        <v>46168</v>
      </c>
      <c r="D383" t="inlineStr">
        <is>
          <t>ÖSTERGÖTLANDS LÄN</t>
        </is>
      </c>
      <c r="E383" t="inlineStr">
        <is>
          <t>SÖDERKÖPING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50866-2023</t>
        </is>
      </c>
      <c r="B384" s="1" t="n">
        <v>45218.36055555556</v>
      </c>
      <c r="C384" s="1" t="n">
        <v>46168</v>
      </c>
      <c r="D384" t="inlineStr">
        <is>
          <t>ÖSTERGÖTLANDS LÄN</t>
        </is>
      </c>
      <c r="E384" t="inlineStr">
        <is>
          <t>SÖDERKÖPING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20251-2023</t>
        </is>
      </c>
      <c r="B385" s="1" t="n">
        <v>45055</v>
      </c>
      <c r="C385" s="1" t="n">
        <v>46168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20253-2023</t>
        </is>
      </c>
      <c r="B386" s="1" t="n">
        <v>45055</v>
      </c>
      <c r="C386" s="1" t="n">
        <v>46168</v>
      </c>
      <c r="D386" t="inlineStr">
        <is>
          <t>ÖSTERGÖTLANDS LÄN</t>
        </is>
      </c>
      <c r="E386" t="inlineStr">
        <is>
          <t>SÖDERKÖPING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44819-2023</t>
        </is>
      </c>
      <c r="B387" s="1" t="n">
        <v>45190</v>
      </c>
      <c r="C387" s="1" t="n">
        <v>46168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45483-2023</t>
        </is>
      </c>
      <c r="B388" s="1" t="n">
        <v>45194.4577199074</v>
      </c>
      <c r="C388" s="1" t="n">
        <v>46168</v>
      </c>
      <c r="D388" t="inlineStr">
        <is>
          <t>ÖSTERGÖTLANDS LÄN</t>
        </is>
      </c>
      <c r="E388" t="inlineStr">
        <is>
          <t>SÖDERKÖPING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4498-2023</t>
        </is>
      </c>
      <c r="B389" s="1" t="n">
        <v>44956.55607638889</v>
      </c>
      <c r="C389" s="1" t="n">
        <v>46168</v>
      </c>
      <c r="D389" t="inlineStr">
        <is>
          <t>ÖSTERGÖTLANDS LÄN</t>
        </is>
      </c>
      <c r="E389" t="inlineStr">
        <is>
          <t>SÖDERKÖPING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225-2023</t>
        </is>
      </c>
      <c r="B390" s="1" t="n">
        <v>44928</v>
      </c>
      <c r="C390" s="1" t="n">
        <v>46168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5615-2023</t>
        </is>
      </c>
      <c r="B391" s="1" t="n">
        <v>44958</v>
      </c>
      <c r="C391" s="1" t="n">
        <v>46168</v>
      </c>
      <c r="D391" t="inlineStr">
        <is>
          <t>ÖSTERGÖTLANDS LÄN</t>
        </is>
      </c>
      <c r="E391" t="inlineStr">
        <is>
          <t>SÖDERKÖPING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34917-2022</t>
        </is>
      </c>
      <c r="B392" s="1" t="n">
        <v>44796</v>
      </c>
      <c r="C392" s="1" t="n">
        <v>46168</v>
      </c>
      <c r="D392" t="inlineStr">
        <is>
          <t>ÖSTERGÖTLANDS LÄN</t>
        </is>
      </c>
      <c r="E392" t="inlineStr">
        <is>
          <t>SÖDERKÖPING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61511-2023</t>
        </is>
      </c>
      <c r="B393" s="1" t="n">
        <v>45265</v>
      </c>
      <c r="C393" s="1" t="n">
        <v>46168</v>
      </c>
      <c r="D393" t="inlineStr">
        <is>
          <t>ÖSTERGÖTLANDS LÄN</t>
        </is>
      </c>
      <c r="E393" t="inlineStr">
        <is>
          <t>SÖDERKÖPING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29514-2023</t>
        </is>
      </c>
      <c r="B394" s="1" t="n">
        <v>45106.61258101852</v>
      </c>
      <c r="C394" s="1" t="n">
        <v>46168</v>
      </c>
      <c r="D394" t="inlineStr">
        <is>
          <t>ÖSTERGÖTLANDS LÄN</t>
        </is>
      </c>
      <c r="E394" t="inlineStr">
        <is>
          <t>SÖDERKÖPING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4163-2022</t>
        </is>
      </c>
      <c r="B395" s="1" t="n">
        <v>44588.52334490741</v>
      </c>
      <c r="C395" s="1" t="n">
        <v>46168</v>
      </c>
      <c r="D395" t="inlineStr">
        <is>
          <t>ÖSTERGÖTLANDS LÄN</t>
        </is>
      </c>
      <c r="E395" t="inlineStr">
        <is>
          <t>SÖDERKÖPING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31415-2021</t>
        </is>
      </c>
      <c r="B396" s="1" t="n">
        <v>44368</v>
      </c>
      <c r="C396" s="1" t="n">
        <v>46168</v>
      </c>
      <c r="D396" t="inlineStr">
        <is>
          <t>ÖSTERGÖTLANDS LÄN</t>
        </is>
      </c>
      <c r="E396" t="inlineStr">
        <is>
          <t>SÖDERKÖPING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49251-2024</t>
        </is>
      </c>
      <c r="B397" s="1" t="n">
        <v>45595.46804398148</v>
      </c>
      <c r="C397" s="1" t="n">
        <v>46168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63392-2021</t>
        </is>
      </c>
      <c r="B398" s="1" t="n">
        <v>44508.5356712963</v>
      </c>
      <c r="C398" s="1" t="n">
        <v>46168</v>
      </c>
      <c r="D398" t="inlineStr">
        <is>
          <t>ÖSTERGÖTLANDS LÄN</t>
        </is>
      </c>
      <c r="E398" t="inlineStr">
        <is>
          <t>SÖDERKÖPING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11951-2024</t>
        </is>
      </c>
      <c r="B399" s="1" t="n">
        <v>45376.69920138889</v>
      </c>
      <c r="C399" s="1" t="n">
        <v>46168</v>
      </c>
      <c r="D399" t="inlineStr">
        <is>
          <t>ÖSTERGÖTLANDS LÄN</t>
        </is>
      </c>
      <c r="E399" t="inlineStr">
        <is>
          <t>SÖDERKÖPING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4491-2023</t>
        </is>
      </c>
      <c r="B400" s="1" t="n">
        <v>44956.54292824074</v>
      </c>
      <c r="C400" s="1" t="n">
        <v>46168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410-2025</t>
        </is>
      </c>
      <c r="B401" s="1" t="n">
        <v>45663.66900462963</v>
      </c>
      <c r="C401" s="1" t="n">
        <v>46168</v>
      </c>
      <c r="D401" t="inlineStr">
        <is>
          <t>ÖSTERGÖTLANDS LÄN</t>
        </is>
      </c>
      <c r="E401" t="inlineStr">
        <is>
          <t>SÖDERKÖPING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7055-2025</t>
        </is>
      </c>
      <c r="B402" s="1" t="n">
        <v>45701.65225694444</v>
      </c>
      <c r="C402" s="1" t="n">
        <v>46168</v>
      </c>
      <c r="D402" t="inlineStr">
        <is>
          <t>ÖSTERGÖTLANDS LÄN</t>
        </is>
      </c>
      <c r="E402" t="inlineStr">
        <is>
          <t>SÖDERKÖPING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26058-2022</t>
        </is>
      </c>
      <c r="B403" s="1" t="n">
        <v>44734</v>
      </c>
      <c r="C403" s="1" t="n">
        <v>46168</v>
      </c>
      <c r="D403" t="inlineStr">
        <is>
          <t>ÖSTERGÖTLANDS LÄN</t>
        </is>
      </c>
      <c r="E403" t="inlineStr">
        <is>
          <t>SÖDERKÖPING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37694-2023</t>
        </is>
      </c>
      <c r="B404" s="1" t="n">
        <v>45159.57116898148</v>
      </c>
      <c r="C404" s="1" t="n">
        <v>46168</v>
      </c>
      <c r="D404" t="inlineStr">
        <is>
          <t>ÖSTERGÖTLANDS LÄN</t>
        </is>
      </c>
      <c r="E404" t="inlineStr">
        <is>
          <t>SÖDERKÖPING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6350-2023</t>
        </is>
      </c>
      <c r="B405" s="1" t="n">
        <v>44965</v>
      </c>
      <c r="C405" s="1" t="n">
        <v>46168</v>
      </c>
      <c r="D405" t="inlineStr">
        <is>
          <t>ÖSTERGÖTLANDS LÄN</t>
        </is>
      </c>
      <c r="E405" t="inlineStr">
        <is>
          <t>SÖDERKÖPING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17358-2025</t>
        </is>
      </c>
      <c r="B406" s="1" t="n">
        <v>45756</v>
      </c>
      <c r="C406" s="1" t="n">
        <v>46168</v>
      </c>
      <c r="D406" t="inlineStr">
        <is>
          <t>ÖSTERGÖTLANDS LÄN</t>
        </is>
      </c>
      <c r="E406" t="inlineStr">
        <is>
          <t>SÖDERKÖPING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44174-2023</t>
        </is>
      </c>
      <c r="B407" s="1" t="n">
        <v>45188.50635416667</v>
      </c>
      <c r="C407" s="1" t="n">
        <v>46168</v>
      </c>
      <c r="D407" t="inlineStr">
        <is>
          <t>ÖSTERGÖTLANDS LÄN</t>
        </is>
      </c>
      <c r="E407" t="inlineStr">
        <is>
          <t>SÖDERKÖPING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59876-2023</t>
        </is>
      </c>
      <c r="B408" s="1" t="n">
        <v>45257</v>
      </c>
      <c r="C408" s="1" t="n">
        <v>46168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48555-2023</t>
        </is>
      </c>
      <c r="B409" s="1" t="n">
        <v>45208</v>
      </c>
      <c r="C409" s="1" t="n">
        <v>46168</v>
      </c>
      <c r="D409" t="inlineStr">
        <is>
          <t>ÖSTERGÖTLANDS LÄN</t>
        </is>
      </c>
      <c r="E409" t="inlineStr">
        <is>
          <t>SÖDERKÖPING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8558-2025</t>
        </is>
      </c>
      <c r="B410" s="1" t="n">
        <v>45709.62162037037</v>
      </c>
      <c r="C410" s="1" t="n">
        <v>46168</v>
      </c>
      <c r="D410" t="inlineStr">
        <is>
          <t>ÖSTERGÖTLANDS LÄN</t>
        </is>
      </c>
      <c r="E410" t="inlineStr">
        <is>
          <t>SÖDERKÖPING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4526-2025</t>
        </is>
      </c>
      <c r="B411" s="1" t="n">
        <v>45687.26951388889</v>
      </c>
      <c r="C411" s="1" t="n">
        <v>46168</v>
      </c>
      <c r="D411" t="inlineStr">
        <is>
          <t>ÖSTERGÖTLANDS LÄN</t>
        </is>
      </c>
      <c r="E411" t="inlineStr">
        <is>
          <t>SÖDERKÖPING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30324-2024</t>
        </is>
      </c>
      <c r="B412" s="1" t="n">
        <v>45490.92943287037</v>
      </c>
      <c r="C412" s="1" t="n">
        <v>46168</v>
      </c>
      <c r="D412" t="inlineStr">
        <is>
          <t>ÖSTERGÖTLANDS LÄN</t>
        </is>
      </c>
      <c r="E412" t="inlineStr">
        <is>
          <t>SÖDERKÖPING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42673-2023</t>
        </is>
      </c>
      <c r="B413" s="1" t="n">
        <v>45181</v>
      </c>
      <c r="C413" s="1" t="n">
        <v>46168</v>
      </c>
      <c r="D413" t="inlineStr">
        <is>
          <t>ÖSTERGÖTLANDS LÄN</t>
        </is>
      </c>
      <c r="E413" t="inlineStr">
        <is>
          <t>SÖDERKÖPING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1293-2025</t>
        </is>
      </c>
      <c r="B414" s="1" t="n">
        <v>45667.52725694444</v>
      </c>
      <c r="C414" s="1" t="n">
        <v>46168</v>
      </c>
      <c r="D414" t="inlineStr">
        <is>
          <t>ÖSTERGÖTLANDS LÄN</t>
        </is>
      </c>
      <c r="E414" t="inlineStr">
        <is>
          <t>SÖDERKÖPING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6615-2025</t>
        </is>
      </c>
      <c r="B415" s="1" t="n">
        <v>45700</v>
      </c>
      <c r="C415" s="1" t="n">
        <v>46168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21416-2025</t>
        </is>
      </c>
      <c r="B416" s="1" t="n">
        <v>45782.49765046296</v>
      </c>
      <c r="C416" s="1" t="n">
        <v>46168</v>
      </c>
      <c r="D416" t="inlineStr">
        <is>
          <t>ÖSTERGÖTLANDS LÄN</t>
        </is>
      </c>
      <c r="E416" t="inlineStr">
        <is>
          <t>SÖDERKÖPING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31305-2024</t>
        </is>
      </c>
      <c r="B417" s="1" t="n">
        <v>45504</v>
      </c>
      <c r="C417" s="1" t="n">
        <v>46168</v>
      </c>
      <c r="D417" t="inlineStr">
        <is>
          <t>ÖSTERGÖTLANDS LÄN</t>
        </is>
      </c>
      <c r="E417" t="inlineStr">
        <is>
          <t>SÖDERKÖPING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31314-2024</t>
        </is>
      </c>
      <c r="B418" s="1" t="n">
        <v>45504</v>
      </c>
      <c r="C418" s="1" t="n">
        <v>46168</v>
      </c>
      <c r="D418" t="inlineStr">
        <is>
          <t>ÖSTERGÖTLANDS LÄN</t>
        </is>
      </c>
      <c r="E418" t="inlineStr">
        <is>
          <t>SÖDERKÖPING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20310-2024</t>
        </is>
      </c>
      <c r="B419" s="1" t="n">
        <v>45435.35898148148</v>
      </c>
      <c r="C419" s="1" t="n">
        <v>46168</v>
      </c>
      <c r="D419" t="inlineStr">
        <is>
          <t>ÖSTERGÖTLANDS LÄN</t>
        </is>
      </c>
      <c r="E419" t="inlineStr">
        <is>
          <t>SÖDERKÖPING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2026-05-26T10:52:34Z</dcterms:created>
  <dcterms:modified xmlns:dcterms="http://purl.org/dc/terms/" xmlns:xsi="http://www.w3.org/2001/XMLSchema-instance" xsi:type="dcterms:W3CDTF">2026-05-26T10:52:34Z</dcterms:modified>
</cp:coreProperties>
</file>