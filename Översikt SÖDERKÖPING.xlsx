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HYPERLINK("https://klasma.github.io/Logging_0582/kartor_geotiff/A 50388-2022 georefererad karta.tif", "A 50388-2022")</f>
        <v/>
      </c>
      <c r="Y2">
        <f>HYPERLINK("https://klasma.github.io/Logging_0582/knärot/A 50388-2022 karta knärot.png", "A 50388-2022")</f>
        <v/>
      </c>
      <c r="Z2">
        <f>HYPERLINK("https://klasma.github.io/Logging_0582/klagomål/A 50388-2022 FSC-klagomål.docx", "A 50388-2022")</f>
        <v/>
      </c>
      <c r="AA2">
        <f>HYPERLINK("https://klasma.github.io/Logging_0582/klagomålsmail/A 50388-2022 FSC-klagomål mail.docx", "A 50388-2022")</f>
        <v/>
      </c>
      <c r="AB2">
        <f>HYPERLINK("https://klasma.github.io/Logging_0582/tillsyn/A 50388-2022 tillsynsbegäran.docx", "A 50388-2022")</f>
        <v/>
      </c>
      <c r="AC2">
        <f>HYPERLINK("https://klasma.github.io/Logging_0582/tillsynsmail/A 50388-2022 tillsynsbegäran mail.docx", "A 50388-2022")</f>
        <v/>
      </c>
      <c r="AD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46223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X3">
        <f>HYPERLINK("https://klasma.github.io/Logging_0582/kartor_geotiff/A 50386-2022 georefererad karta.tif", "A 50386-2022")</f>
        <v/>
      </c>
      <c r="Z3">
        <f>HYPERLINK("https://klasma.github.io/Logging_0582/klagomål/A 50386-2022 FSC-klagomål.docx", "A 50386-2022")</f>
        <v/>
      </c>
      <c r="AA3">
        <f>HYPERLINK("https://klasma.github.io/Logging_0582/klagomålsmail/A 50386-2022 FSC-klagomål mail.docx", "A 50386-2022")</f>
        <v/>
      </c>
      <c r="AB3">
        <f>HYPERLINK("https://klasma.github.io/Logging_0582/tillsyn/A 50386-2022 tillsynsbegäran.docx", "A 50386-2022")</f>
        <v/>
      </c>
      <c r="AC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HYPERLINK("https://klasma.github.io/Logging_0582/kartor_geotiff/A 23127-2026 georefererad karta.tif", "A 23127-2026")</f>
        <v/>
      </c>
      <c r="Y4">
        <f>HYPERLINK("https://klasma.github.io/Logging_0582/knärot/A 23127-2026 karta knärot.png", "A 23127-2026")</f>
        <v/>
      </c>
      <c r="Z4">
        <f>HYPERLINK("https://klasma.github.io/Logging_0582/klagomål/A 23127-2026 FSC-klagomål.docx", "A 23127-2026")</f>
        <v/>
      </c>
      <c r="AA4">
        <f>HYPERLINK("https://klasma.github.io/Logging_0582/klagomålsmail/A 23127-2026 FSC-klagomål mail.docx", "A 23127-2026")</f>
        <v/>
      </c>
      <c r="AB4">
        <f>HYPERLINK("https://klasma.github.io/Logging_0582/tillsyn/A 23127-2026 tillsynsbegäran.docx", "A 23127-2026")</f>
        <v/>
      </c>
      <c r="AC4">
        <f>HYPERLINK("https://klasma.github.io/Logging_0582/tillsynsmail/A 23127-2026 tillsynsbegäran mail.docx", "A 23127-2026")</f>
        <v/>
      </c>
      <c r="AD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HYPERLINK("https://klasma.github.io/Logging_0582/kartor_geotiff/A 23061-2026 georefererad karta.tif", "A 23061-2026")</f>
        <v/>
      </c>
      <c r="Y5">
        <f>HYPERLINK("https://klasma.github.io/Logging_0582/knärot/A 23061-2026 karta knärot.png", "A 23061-2026")</f>
        <v/>
      </c>
      <c r="Z5">
        <f>HYPERLINK("https://klasma.github.io/Logging_0582/klagomål/A 23061-2026 FSC-klagomål.docx", "A 23061-2026")</f>
        <v/>
      </c>
      <c r="AA5">
        <f>HYPERLINK("https://klasma.github.io/Logging_0582/klagomålsmail/A 23061-2026 FSC-klagomål mail.docx", "A 23061-2026")</f>
        <v/>
      </c>
      <c r="AB5">
        <f>HYPERLINK("https://klasma.github.io/Logging_0582/tillsyn/A 23061-2026 tillsynsbegäran.docx", "A 23061-2026")</f>
        <v/>
      </c>
      <c r="AC5">
        <f>HYPERLINK("https://klasma.github.io/Logging_0582/tillsynsmail/A 23061-2026 tillsynsbegäran mail.docx", "A 23061-2026")</f>
        <v/>
      </c>
      <c r="AD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X6">
        <f>HYPERLINK("https://klasma.github.io/Logging_0582/kartor_geotiff/A 26931-2026 georefererad karta.tif", "A 26931-2026")</f>
        <v/>
      </c>
      <c r="Z6">
        <f>HYPERLINK("https://klasma.github.io/Logging_0582/klagomål/A 26931-2026 FSC-klagomål.docx", "A 26931-2026")</f>
        <v/>
      </c>
      <c r="AA6">
        <f>HYPERLINK("https://klasma.github.io/Logging_0582/klagomålsmail/A 26931-2026 FSC-klagomål mail.docx", "A 26931-2026")</f>
        <v/>
      </c>
      <c r="AB6">
        <f>HYPERLINK("https://klasma.github.io/Logging_0582/tillsyn/A 26931-2026 tillsynsbegäran.docx", "A 26931-2026")</f>
        <v/>
      </c>
      <c r="AC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X7">
        <f>HYPERLINK("https://klasma.github.io/Logging_0582/kartor_geotiff/A 13129-2022 georefererad karta.tif", "A 13129-2022")</f>
        <v/>
      </c>
      <c r="Z7">
        <f>HYPERLINK("https://klasma.github.io/Logging_0582/klagomål/A 13129-2022 FSC-klagomål.docx", "A 13129-2022")</f>
        <v/>
      </c>
      <c r="AA7">
        <f>HYPERLINK("https://klasma.github.io/Logging_0582/klagomålsmail/A 13129-2022 FSC-klagomål mail.docx", "A 13129-2022")</f>
        <v/>
      </c>
      <c r="AB7">
        <f>HYPERLINK("https://klasma.github.io/Logging_0582/tillsyn/A 13129-2022 tillsynsbegäran.docx", "A 13129-2022")</f>
        <v/>
      </c>
      <c r="AC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46223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X8">
        <f>HYPERLINK("https://klasma.github.io/Logging_0582/kartor_geotiff/A 56879-2023 georefererad karta.tif", "A 56879-2023")</f>
        <v/>
      </c>
      <c r="Z8">
        <f>HYPERLINK("https://klasma.github.io/Logging_0582/klagomål/A 56879-2023 FSC-klagomål.docx", "A 56879-2023")</f>
        <v/>
      </c>
      <c r="AA8">
        <f>HYPERLINK("https://klasma.github.io/Logging_0582/klagomålsmail/A 56879-2023 FSC-klagomål mail.docx", "A 56879-2023")</f>
        <v/>
      </c>
      <c r="AB8">
        <f>HYPERLINK("https://klasma.github.io/Logging_0582/tillsyn/A 56879-2023 tillsynsbegäran.docx", "A 56879-2023")</f>
        <v/>
      </c>
      <c r="AC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46223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X9">
        <f>HYPERLINK("https://klasma.github.io/Logging_0582/kartor_geotiff/A 23100-2026 georefererad karta.tif", "A 23100-2026")</f>
        <v/>
      </c>
      <c r="Z9">
        <f>HYPERLINK("https://klasma.github.io/Logging_0582/klagomål/A 23100-2026 FSC-klagomål.docx", "A 23100-2026")</f>
        <v/>
      </c>
      <c r="AA9">
        <f>HYPERLINK("https://klasma.github.io/Logging_0582/klagomålsmail/A 23100-2026 FSC-klagomål mail.docx", "A 23100-2026")</f>
        <v/>
      </c>
      <c r="AB9">
        <f>HYPERLINK("https://klasma.github.io/Logging_0582/tillsyn/A 23100-2026 tillsynsbegäran.docx", "A 23100-2026")</f>
        <v/>
      </c>
      <c r="AC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46223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X10">
        <f>HYPERLINK("https://klasma.github.io/Logging_0582/kartor_geotiff/S 4651-2024 georefererad karta.tif", "S 4651-2024")</f>
        <v/>
      </c>
      <c r="Z10">
        <f>HYPERLINK("https://klasma.github.io/Logging_0582/klagomål/S 4651-2024 FSC-klagomål.docx", "S 4651-2024")</f>
        <v/>
      </c>
      <c r="AA10">
        <f>HYPERLINK("https://klasma.github.io/Logging_0582/klagomålsmail/S 4651-2024 FSC-klagomål mail.docx", "S 4651-2024")</f>
        <v/>
      </c>
      <c r="AB10">
        <f>HYPERLINK("https://klasma.github.io/Logging_0582/tillsyn/S 4651-2024 tillsynsbegäran.docx", "S 4651-2024")</f>
        <v/>
      </c>
      <c r="AC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46223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X11">
        <f>HYPERLINK("https://klasma.github.io/Logging_0582/kartor_geotiff/S 1541-2026 georefererad karta.tif", "S 1541-2026")</f>
        <v/>
      </c>
      <c r="Z11">
        <f>HYPERLINK("https://klasma.github.io/Logging_0582/klagomål/S 1541-2026 FSC-klagomål.docx", "S 1541-2026")</f>
        <v/>
      </c>
      <c r="AA11">
        <f>HYPERLINK("https://klasma.github.io/Logging_0582/klagomålsmail/S 1541-2026 FSC-klagomål mail.docx", "S 1541-2026")</f>
        <v/>
      </c>
      <c r="AB11">
        <f>HYPERLINK("https://klasma.github.io/Logging_0582/tillsyn/S 1541-2026 tillsynsbegäran.docx", "S 1541-2026")</f>
        <v/>
      </c>
      <c r="AC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46223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Gyllensopp
Persiljespindling
Vanlig groda
Vanlig padda</t>
        </is>
      </c>
      <c r="V12">
        <f>HYPERLINK("https://klasma.github.io/Logging_0582/artfynd/A 26935-2026 artfynd.xlsx", "A 26935-2026")</f>
        <v/>
      </c>
      <c r="W12">
        <f>HYPERLINK("https://klasma.github.io/Logging_0582/kartor/A 26935-2026 karta.png", "A 26935-2026")</f>
        <v/>
      </c>
      <c r="X12">
        <f>HYPERLINK("https://klasma.github.io/Logging_0582/kartor_geotiff/A 26935-2026 georefererad karta.tif", "A 26935-2026")</f>
        <v/>
      </c>
      <c r="Z12">
        <f>HYPERLINK("https://klasma.github.io/Logging_0582/klagomål/A 26935-2026 FSC-klagomål.docx", "A 26935-2026")</f>
        <v/>
      </c>
      <c r="AA12">
        <f>HYPERLINK("https://klasma.github.io/Logging_0582/klagomålsmail/A 26935-2026 FSC-klagomål mail.docx", "A 26935-2026")</f>
        <v/>
      </c>
      <c r="AB12">
        <f>HYPERLINK("https://klasma.github.io/Logging_0582/tillsyn/A 26935-2026 tillsynsbegäran.docx", "A 26935-2026")</f>
        <v/>
      </c>
      <c r="AC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46223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s="2" t="inlineStr">
        <is>
          <t>Skogsalm
Backklöver
Jungfrulin
Svinrot</t>
        </is>
      </c>
      <c r="V13">
        <f>HYPERLINK("https://klasma.github.io/Logging_0582/artfynd/A 42909-2021 artfynd.xlsx", "A 42909-2021")</f>
        <v/>
      </c>
      <c r="W13">
        <f>HYPERLINK("https://klasma.github.io/Logging_0582/kartor/A 42909-2021 karta.png", "A 42909-2021")</f>
        <v/>
      </c>
      <c r="X13">
        <f>HYPERLINK("https://klasma.github.io/Logging_0582/kartor_geotiff/A 42909-2021 georefererad karta.tif", "A 42909-2021")</f>
        <v/>
      </c>
      <c r="Z13">
        <f>HYPERLINK("https://klasma.github.io/Logging_0582/klagomål/A 42909-2021 FSC-klagomål.docx", "A 42909-2021")</f>
        <v/>
      </c>
      <c r="AA13">
        <f>HYPERLINK("https://klasma.github.io/Logging_0582/klagomålsmail/A 42909-2021 FSC-klagomål mail.docx", "A 42909-2021")</f>
        <v/>
      </c>
      <c r="AB13">
        <f>HYPERLINK("https://klasma.github.io/Logging_0582/tillsyn/A 42909-2021 tillsynsbegäran.docx", "A 42909-2021")</f>
        <v/>
      </c>
      <c r="AC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46223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s="2" t="inlineStr">
        <is>
          <t>Vedskivlav
Blompraktbagge
Tjäder</t>
        </is>
      </c>
      <c r="V14">
        <f>HYPERLINK("https://klasma.github.io/Logging_0582/artfynd/A 23756-2026 artfynd.xlsx", "A 23756-2026")</f>
        <v/>
      </c>
      <c r="W14">
        <f>HYPERLINK("https://klasma.github.io/Logging_0582/kartor/A 23756-2026 karta.png", "A 23756-2026")</f>
        <v/>
      </c>
      <c r="X14">
        <f>HYPERLINK("https://klasma.github.io/Logging_0582/kartor_geotiff/A 23756-2026 georefererad karta.tif", "A 23756-2026")</f>
        <v/>
      </c>
      <c r="Z14">
        <f>HYPERLINK("https://klasma.github.io/Logging_0582/klagomål/A 23756-2026 FSC-klagomål.docx", "A 23756-2026")</f>
        <v/>
      </c>
      <c r="AA14">
        <f>HYPERLINK("https://klasma.github.io/Logging_0582/klagomålsmail/A 23756-2026 FSC-klagomål mail.docx", "A 23756-2026")</f>
        <v/>
      </c>
      <c r="AB14">
        <f>HYPERLINK("https://klasma.github.io/Logging_0582/tillsyn/A 23756-2026 tillsynsbegäran.docx", "A 23756-2026")</f>
        <v/>
      </c>
      <c r="AC14">
        <f>HYPERLINK("https://klasma.github.io/Logging_0582/tillsynsmail/A 23756-2026 tillsynsbegäran mail.docx", "A 23756-2026")</f>
        <v/>
      </c>
      <c r="AD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46223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Nordfladdermus
Dvärgpipistrell
Större brunfladdermus</t>
        </is>
      </c>
      <c r="V15">
        <f>HYPERLINK("https://klasma.github.io/Logging_0582/artfynd/A 30438-2022 artfynd.xlsx", "A 30438-2022")</f>
        <v/>
      </c>
      <c r="W15">
        <f>HYPERLINK("https://klasma.github.io/Logging_0582/kartor/A 30438-2022 karta.png", "A 30438-2022")</f>
        <v/>
      </c>
      <c r="X15">
        <f>HYPERLINK("https://klasma.github.io/Logging_0582/kartor_geotiff/A 30438-2022 georefererad karta.tif", "A 30438-2022")</f>
        <v/>
      </c>
      <c r="Z15">
        <f>HYPERLINK("https://klasma.github.io/Logging_0582/klagomål/A 30438-2022 FSC-klagomål.docx", "A 30438-2022")</f>
        <v/>
      </c>
      <c r="AA15">
        <f>HYPERLINK("https://klasma.github.io/Logging_0582/klagomålsmail/A 30438-2022 FSC-klagomål mail.docx", "A 30438-2022")</f>
        <v/>
      </c>
      <c r="AB15">
        <f>HYPERLINK("https://klasma.github.io/Logging_0582/tillsyn/A 30438-2022 tillsynsbegäran.docx", "A 30438-2022")</f>
        <v/>
      </c>
      <c r="AC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46223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X16">
        <f>HYPERLINK("https://klasma.github.io/Logging_0582/kartor_geotiff/A 7879-2023 georefererad karta.tif", "A 7879-2023")</f>
        <v/>
      </c>
      <c r="Z16">
        <f>HYPERLINK("https://klasma.github.io/Logging_0582/klagomål/A 7879-2023 FSC-klagomål.docx", "A 7879-2023")</f>
        <v/>
      </c>
      <c r="AA16">
        <f>HYPERLINK("https://klasma.github.io/Logging_0582/klagomålsmail/A 7879-2023 FSC-klagomål mail.docx", "A 7879-2023")</f>
        <v/>
      </c>
      <c r="AB16">
        <f>HYPERLINK("https://klasma.github.io/Logging_0582/tillsyn/A 7879-2023 tillsynsbegäran.docx", "A 7879-2023")</f>
        <v/>
      </c>
      <c r="AC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46223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Vedskivlav
Vanlig padda</t>
        </is>
      </c>
      <c r="V17">
        <f>HYPERLINK("https://klasma.github.io/Logging_0582/artfynd/A 37183-2025 artfynd.xlsx", "A 37183-2025")</f>
        <v/>
      </c>
      <c r="W17">
        <f>HYPERLINK("https://klasma.github.io/Logging_0582/kartor/A 37183-2025 karta.png", "A 37183-2025")</f>
        <v/>
      </c>
      <c r="X17">
        <f>HYPERLINK("https://klasma.github.io/Logging_0582/kartor_geotiff/A 37183-2025 georefererad karta.tif", "A 37183-2025")</f>
        <v/>
      </c>
      <c r="Z17">
        <f>HYPERLINK("https://klasma.github.io/Logging_0582/klagomål/A 37183-2025 FSC-klagomål.docx", "A 37183-2025")</f>
        <v/>
      </c>
      <c r="AA17">
        <f>HYPERLINK("https://klasma.github.io/Logging_0582/klagomålsmail/A 37183-2025 FSC-klagomål mail.docx", "A 37183-2025")</f>
        <v/>
      </c>
      <c r="AB17">
        <f>HYPERLINK("https://klasma.github.io/Logging_0582/tillsyn/A 37183-2025 tillsynsbegäran.docx", "A 37183-2025")</f>
        <v/>
      </c>
      <c r="AC17">
        <f>HYPERLINK("https://klasma.github.io/Logging_0582/tillsynsmail/A 37183-2025 tillsynsbegäran mail.docx", "A 37183-2025")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46223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Huggorm
Vanlig snok</t>
        </is>
      </c>
      <c r="V18">
        <f>HYPERLINK("https://klasma.github.io/Logging_0582/artfynd/A 7847-2026 artfynd.xlsx", "A 7847-2026")</f>
        <v/>
      </c>
      <c r="W18">
        <f>HYPERLINK("https://klasma.github.io/Logging_0582/kartor/A 7847-2026 karta.png", "A 7847-2026")</f>
        <v/>
      </c>
      <c r="X18">
        <f>HYPERLINK("https://klasma.github.io/Logging_0582/kartor_geotiff/A 7847-2026 georefererad karta.tif", "A 7847-2026")</f>
        <v/>
      </c>
      <c r="Z18">
        <f>HYPERLINK("https://klasma.github.io/Logging_0582/klagomål/A 7847-2026 FSC-klagomål.docx", "A 7847-2026")</f>
        <v/>
      </c>
      <c r="AA18">
        <f>HYPERLINK("https://klasma.github.io/Logging_0582/klagomålsmail/A 7847-2026 FSC-klagomål mail.docx", "A 7847-2026")</f>
        <v/>
      </c>
      <c r="AB18">
        <f>HYPERLINK("https://klasma.github.io/Logging_0582/tillsyn/A 7847-2026 tillsynsbegäran.docx", "A 7847-2026")</f>
        <v/>
      </c>
      <c r="AC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46223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Hasselsnok
Kopparödla</t>
        </is>
      </c>
      <c r="V19">
        <f>HYPERLINK("https://klasma.github.io/Logging_0582/artfynd/A 21648-2023 artfynd.xlsx", "A 21648-2023")</f>
        <v/>
      </c>
      <c r="W19">
        <f>HYPERLINK("https://klasma.github.io/Logging_0582/kartor/A 21648-2023 karta.png", "A 21648-2023")</f>
        <v/>
      </c>
      <c r="X19">
        <f>HYPERLINK("https://klasma.github.io/Logging_0582/kartor_geotiff/A 21648-2023 georefererad karta.tif", "A 21648-2023")</f>
        <v/>
      </c>
      <c r="Z19">
        <f>HYPERLINK("https://klasma.github.io/Logging_0582/klagomål/A 21648-2023 FSC-klagomål.docx", "A 21648-2023")</f>
        <v/>
      </c>
      <c r="AA19">
        <f>HYPERLINK("https://klasma.github.io/Logging_0582/klagomålsmail/A 21648-2023 FSC-klagomål mail.docx", "A 21648-2023")</f>
        <v/>
      </c>
      <c r="AB19">
        <f>HYPERLINK("https://klasma.github.io/Logging_0582/tillsyn/A 21648-2023 tillsynsbegäran.docx", "A 21648-2023")</f>
        <v/>
      </c>
      <c r="AC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46223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Krusfrö
Sångsvan</t>
        </is>
      </c>
      <c r="V20">
        <f>HYPERLINK("https://klasma.github.io/Logging_0582/artfynd/A 49366-2023 artfynd.xlsx", "A 49366-2023")</f>
        <v/>
      </c>
      <c r="W20">
        <f>HYPERLINK("https://klasma.github.io/Logging_0582/kartor/A 49366-2023 karta.png", "A 49366-2023")</f>
        <v/>
      </c>
      <c r="X20">
        <f>HYPERLINK("https://klasma.github.io/Logging_0582/kartor_geotiff/A 49366-2023 georefererad karta.tif", "A 49366-2023")</f>
        <v/>
      </c>
      <c r="Z20">
        <f>HYPERLINK("https://klasma.github.io/Logging_0582/klagomål/A 49366-2023 FSC-klagomål.docx", "A 49366-2023")</f>
        <v/>
      </c>
      <c r="AA20">
        <f>HYPERLINK("https://klasma.github.io/Logging_0582/klagomålsmail/A 49366-2023 FSC-klagomål mail.docx", "A 49366-2023")</f>
        <v/>
      </c>
      <c r="AB20">
        <f>HYPERLINK("https://klasma.github.io/Logging_0582/tillsyn/A 49366-2023 tillsynsbegäran.docx", "A 49366-2023")</f>
        <v/>
      </c>
      <c r="AC20">
        <f>HYPERLINK("https://klasma.github.io/Logging_0582/tillsynsmail/A 49366-2023 tillsynsbegäran mail.docx", "A 49366-2023")</f>
        <v/>
      </c>
      <c r="AD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46223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Tallticka
Igelkottsröksvamp</t>
        </is>
      </c>
      <c r="V21">
        <f>HYPERLINK("https://klasma.github.io/Logging_0582/artfynd/A 394-2026 artfynd.xlsx", "A 394-2026")</f>
        <v/>
      </c>
      <c r="W21">
        <f>HYPERLINK("https://klasma.github.io/Logging_0582/kartor/A 394-2026 karta.png", "A 394-2026")</f>
        <v/>
      </c>
      <c r="X21">
        <f>HYPERLINK("https://klasma.github.io/Logging_0582/kartor_geotiff/A 394-2026 georefererad karta.tif", "A 394-2026")</f>
        <v/>
      </c>
      <c r="Z21">
        <f>HYPERLINK("https://klasma.github.io/Logging_0582/klagomål/A 394-2026 FSC-klagomål.docx", "A 394-2026")</f>
        <v/>
      </c>
      <c r="AA21">
        <f>HYPERLINK("https://klasma.github.io/Logging_0582/klagomålsmail/A 394-2026 FSC-klagomål mail.docx", "A 394-2026")</f>
        <v/>
      </c>
      <c r="AB21">
        <f>HYPERLINK("https://klasma.github.io/Logging_0582/tillsyn/A 394-2026 tillsynsbegäran.docx", "A 394-2026")</f>
        <v/>
      </c>
      <c r="AC21">
        <f>HYPERLINK("https://klasma.github.io/Logging_0582/tillsynsmail/A 394-2026 tillsynsbegäran mail.docx", "A 394-2026")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46223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 dropplav
Gulpudrad spiklav</t>
        </is>
      </c>
      <c r="V22">
        <f>HYPERLINK("https://klasma.github.io/Logging_0582/artfynd/A 21042-2026 artfynd.xlsx", "A 21042-2026")</f>
        <v/>
      </c>
      <c r="W22">
        <f>HYPERLINK("https://klasma.github.io/Logging_0582/kartor/A 21042-2026 karta.png", "A 21042-2026")</f>
        <v/>
      </c>
      <c r="X22">
        <f>HYPERLINK("https://klasma.github.io/Logging_0582/kartor_geotiff/A 21042-2026 georefererad karta.tif", "A 21042-2026")</f>
        <v/>
      </c>
      <c r="Z22">
        <f>HYPERLINK("https://klasma.github.io/Logging_0582/klagomål/A 21042-2026 FSC-klagomål.docx", "A 21042-2026")</f>
        <v/>
      </c>
      <c r="AA22">
        <f>HYPERLINK("https://klasma.github.io/Logging_0582/klagomålsmail/A 21042-2026 FSC-klagomål mail.docx", "A 21042-2026")</f>
        <v/>
      </c>
      <c r="AB22">
        <f>HYPERLINK("https://klasma.github.io/Logging_0582/tillsyn/A 21042-2026 tillsynsbegäran.docx", "A 21042-2026")</f>
        <v/>
      </c>
      <c r="AC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46223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X23">
        <f>HYPERLINK("https://klasma.github.io/Logging_0582/kartor_geotiff/S 2274-2025 georefererad karta.tif", "S 2274-2025")</f>
        <v/>
      </c>
      <c r="Z23">
        <f>HYPERLINK("https://klasma.github.io/Logging_0582/klagomål/S 2274-2025 FSC-klagomål.docx", "S 2274-2025")</f>
        <v/>
      </c>
      <c r="AA23">
        <f>HYPERLINK("https://klasma.github.io/Logging_0582/klagomålsmail/S 2274-2025 FSC-klagomål mail.docx", "S 2274-2025")</f>
        <v/>
      </c>
      <c r="AB23">
        <f>HYPERLINK("https://klasma.github.io/Logging_0582/tillsyn/S 2274-2025 tillsynsbegäran.docx", "S 2274-2025")</f>
        <v/>
      </c>
      <c r="AC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46223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X24">
        <f>HYPERLINK("https://klasma.github.io/Logging_0582/kartor_geotiff/A 45130-2022 georefererad karta.tif", "A 45130-2022")</f>
        <v/>
      </c>
      <c r="Z24">
        <f>HYPERLINK("https://klasma.github.io/Logging_0582/klagomål/A 45130-2022 FSC-klagomål.docx", "A 45130-2022")</f>
        <v/>
      </c>
      <c r="AA24">
        <f>HYPERLINK("https://klasma.github.io/Logging_0582/klagomålsmail/A 45130-2022 FSC-klagomål mail.docx", "A 45130-2022")</f>
        <v/>
      </c>
      <c r="AB24">
        <f>HYPERLINK("https://klasma.github.io/Logging_0582/tillsyn/A 45130-2022 tillsynsbegäran.docx", "A 45130-2022")</f>
        <v/>
      </c>
      <c r="AC24">
        <f>HYPERLINK("https://klasma.github.io/Logging_0582/tillsynsmail/A 45130-2022 tillsynsbegäran mail.docx", "A 45130-2022")</f>
        <v/>
      </c>
    </row>
    <row r="25" ht="15" customHeight="1">
      <c r="A25" t="inlineStr">
        <is>
          <t>A 8009-2026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46063</v>
      </c>
      <c r="E25" s="1" t="n">
        <v>46223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Allmännings- och besparingsskogar</t>
        </is>
      </c>
      <c r="I25" t="n">
        <v>5.3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Toppvaxing</t>
        </is>
      </c>
      <c r="V25">
        <f>HYPERLINK("https://klasma.github.io/Logging_0582/artfynd/A 8009-2026 artfynd.xlsx", "A 8009-2026")</f>
        <v/>
      </c>
      <c r="W25">
        <f>HYPERLINK("https://klasma.github.io/Logging_0582/kartor/A 8009-2026 karta.png", "A 8009-2026")</f>
        <v/>
      </c>
      <c r="X25">
        <f>HYPERLINK("https://klasma.github.io/Logging_0582/kartor_geotiff/A 8009-2026 georefererad karta.tif", "A 8009-2026")</f>
        <v/>
      </c>
      <c r="Z25">
        <f>HYPERLINK("https://klasma.github.io/Logging_0582/klagomål/A 8009-2026 FSC-klagomål.docx", "A 8009-2026")</f>
        <v/>
      </c>
      <c r="AA25">
        <f>HYPERLINK("https://klasma.github.io/Logging_0582/klagomålsmail/A 8009-2026 FSC-klagomål mail.docx", "A 8009-2026")</f>
        <v/>
      </c>
      <c r="AB25">
        <f>HYPERLINK("https://klasma.github.io/Logging_0582/tillsyn/A 8009-2026 tillsynsbegäran.docx", "A 8009-2026")</f>
        <v/>
      </c>
      <c r="AC25">
        <f>HYPERLINK("https://klasma.github.io/Logging_0582/tillsynsmail/A 8009-2026 tillsynsbegäran mail.docx", "A 8009-2026")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46223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s="2" t="inlineStr">
        <is>
          <t>Ask</t>
        </is>
      </c>
      <c r="V26">
        <f>HYPERLINK("https://klasma.github.io/Logging_0582/artfynd/A 10992-2026 artfynd.xlsx", "A 10992-2026")</f>
        <v/>
      </c>
      <c r="W26">
        <f>HYPERLINK("https://klasma.github.io/Logging_0582/kartor/A 10992-2026 karta.png", "A 10992-2026")</f>
        <v/>
      </c>
      <c r="X26">
        <f>HYPERLINK("https://klasma.github.io/Logging_0582/kartor_geotiff/A 10992-2026 georefererad karta.tif", "A 10992-2026")</f>
        <v/>
      </c>
      <c r="Z26">
        <f>HYPERLINK("https://klasma.github.io/Logging_0582/klagomål/A 10992-2026 FSC-klagomål.docx", "A 10992-2026")</f>
        <v/>
      </c>
      <c r="AA26">
        <f>HYPERLINK("https://klasma.github.io/Logging_0582/klagomålsmail/A 10992-2026 FSC-klagomål mail.docx", "A 10992-2026")</f>
        <v/>
      </c>
      <c r="AB26">
        <f>HYPERLINK("https://klasma.github.io/Logging_0582/tillsyn/A 10992-2026 tillsynsbegäran.docx", "A 10992-2026")</f>
        <v/>
      </c>
      <c r="AC26">
        <f>HYPERLINK("https://klasma.github.io/Logging_0582/tillsynsmail/A 10992-2026 tillsynsbegäran mail.docx", "A 10992-2026")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46223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Rödlånke</t>
        </is>
      </c>
      <c r="V27">
        <f>HYPERLINK("https://klasma.github.io/Logging_0582/artfynd/A 354-2024 artfynd.xlsx", "A 354-2024")</f>
        <v/>
      </c>
      <c r="W27">
        <f>HYPERLINK("https://klasma.github.io/Logging_0582/kartor/A 354-2024 karta.png", "A 354-2024")</f>
        <v/>
      </c>
      <c r="X27">
        <f>HYPERLINK("https://klasma.github.io/Logging_0582/kartor_geotiff/A 354-2024 georefererad karta.tif", "A 354-2024")</f>
        <v/>
      </c>
      <c r="Z27">
        <f>HYPERLINK("https://klasma.github.io/Logging_0582/klagomål/A 354-2024 FSC-klagomål.docx", "A 354-2024")</f>
        <v/>
      </c>
      <c r="AA27">
        <f>HYPERLINK("https://klasma.github.io/Logging_0582/klagomålsmail/A 354-2024 FSC-klagomål mail.docx", "A 354-2024")</f>
        <v/>
      </c>
      <c r="AB27">
        <f>HYPERLINK("https://klasma.github.io/Logging_0582/tillsyn/A 354-2024 tillsynsbegäran.docx", "A 354-2024")</f>
        <v/>
      </c>
      <c r="AC27">
        <f>HYPERLINK("https://klasma.github.io/Logging_0582/tillsynsmail/A 354-2024 tillsynsbegäran mail.docx", "A 354-2024")</f>
        <v/>
      </c>
    </row>
    <row r="28" ht="15" customHeight="1">
      <c r="A28" t="inlineStr">
        <is>
          <t>A 17632-2026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46223</v>
      </c>
      <c r="F28" t="inlineStr">
        <is>
          <t>ÖSTERGÖTLANDS LÄN</t>
        </is>
      </c>
      <c r="G28" t="inlineStr">
        <is>
          <t>SÖDERKÖPING</t>
        </is>
      </c>
      <c r="I28" t="n">
        <v>3.3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Ekoxe</t>
        </is>
      </c>
      <c r="V28">
        <f>HYPERLINK("https://klasma.github.io/Logging_0582/artfynd/A 17632-2026 artfynd.xlsx", "A 17632-2026")</f>
        <v/>
      </c>
      <c r="W28">
        <f>HYPERLINK("https://klasma.github.io/Logging_0582/kartor/A 17632-2026 karta.png", "A 17632-2026")</f>
        <v/>
      </c>
      <c r="X28">
        <f>HYPERLINK("https://klasma.github.io/Logging_0582/kartor_geotiff/A 17632-2026 georefererad karta.tif", "A 17632-2026")</f>
        <v/>
      </c>
      <c r="Z28">
        <f>HYPERLINK("https://klasma.github.io/Logging_0582/klagomål/A 17632-2026 FSC-klagomål.docx", "A 17632-2026")</f>
        <v/>
      </c>
      <c r="AA28">
        <f>HYPERLINK("https://klasma.github.io/Logging_0582/klagomålsmail/A 17632-2026 FSC-klagomål mail.docx", "A 17632-2026")</f>
        <v/>
      </c>
      <c r="AB28">
        <f>HYPERLINK("https://klasma.github.io/Logging_0582/tillsyn/A 17632-2026 tillsynsbegäran.docx", "A 17632-2026")</f>
        <v/>
      </c>
      <c r="AC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46223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Fällmossa</t>
        </is>
      </c>
      <c r="V29">
        <f>HYPERLINK("https://klasma.github.io/Logging_0582/artfynd/A 50708-2024 artfynd.xlsx", "A 50708-2024")</f>
        <v/>
      </c>
      <c r="W29">
        <f>HYPERLINK("https://klasma.github.io/Logging_0582/kartor/A 50708-2024 karta.png", "A 50708-2024")</f>
        <v/>
      </c>
      <c r="X29">
        <f>HYPERLINK("https://klasma.github.io/Logging_0582/kartor_geotiff/A 50708-2024 georefererad karta.tif", "A 50708-2024")</f>
        <v/>
      </c>
      <c r="Z29">
        <f>HYPERLINK("https://klasma.github.io/Logging_0582/klagomål/A 50708-2024 FSC-klagomål.docx", "A 50708-2024")</f>
        <v/>
      </c>
      <c r="AA29">
        <f>HYPERLINK("https://klasma.github.io/Logging_0582/klagomålsmail/A 50708-2024 FSC-klagomål mail.docx", "A 50708-2024")</f>
        <v/>
      </c>
      <c r="AB29">
        <f>HYPERLINK("https://klasma.github.io/Logging_0582/tillsyn/A 50708-2024 tillsynsbegäran.docx", "A 50708-2024")</f>
        <v/>
      </c>
      <c r="AC29">
        <f>HYPERLINK("https://klasma.github.io/Logging_0582/tillsynsmail/A 50708-2024 tillsynsbegäran mail.docx", "A 50708-2024")</f>
        <v/>
      </c>
    </row>
    <row r="30" ht="15" customHeight="1">
      <c r="A30" t="inlineStr">
        <is>
          <t>A 20269-2026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46223</v>
      </c>
      <c r="F30" t="inlineStr">
        <is>
          <t>ÖSTERGÖTLANDS LÄN</t>
        </is>
      </c>
      <c r="G30" t="inlineStr">
        <is>
          <t>SÖDERKÖPING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Kösa</t>
        </is>
      </c>
      <c r="V30">
        <f>HYPERLINK("https://klasma.github.io/Logging_0582/artfynd/A 20269-2026 artfynd.xlsx", "A 20269-2026")</f>
        <v/>
      </c>
      <c r="W30">
        <f>HYPERLINK("https://klasma.github.io/Logging_0582/kartor/A 20269-2026 karta.png", "A 20269-2026")</f>
        <v/>
      </c>
      <c r="X30">
        <f>HYPERLINK("https://klasma.github.io/Logging_0582/kartor_geotiff/A 20269-2026 georefererad karta.tif", "A 20269-2026")</f>
        <v/>
      </c>
      <c r="Z30">
        <f>HYPERLINK("https://klasma.github.io/Logging_0582/klagomål/A 20269-2026 FSC-klagomål.docx", "A 20269-2026")</f>
        <v/>
      </c>
      <c r="AA30">
        <f>HYPERLINK("https://klasma.github.io/Logging_0582/klagomålsmail/A 20269-2026 FSC-klagomål mail.docx", "A 20269-2026")</f>
        <v/>
      </c>
      <c r="AB30">
        <f>HYPERLINK("https://klasma.github.io/Logging_0582/tillsyn/A 20269-2026 tillsynsbegäran.docx", "A 20269-2026")</f>
        <v/>
      </c>
      <c r="AC30">
        <f>HYPERLINK("https://klasma.github.io/Logging_0582/tillsynsmail/A 20269-2026 tillsynsbegäran mail.docx", "A 20269-2026")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46223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Ekoxe</t>
        </is>
      </c>
      <c r="V31">
        <f>HYPERLINK("https://klasma.github.io/Logging_0582/artfynd/A 4709-2025 artfynd.xlsx", "A 4709-2025")</f>
        <v/>
      </c>
      <c r="W31">
        <f>HYPERLINK("https://klasma.github.io/Logging_0582/kartor/A 4709-2025 karta.png", "A 4709-2025")</f>
        <v/>
      </c>
      <c r="X31">
        <f>HYPERLINK("https://klasma.github.io/Logging_0582/kartor_geotiff/A 4709-2025 georefererad karta.tif", "A 4709-2025")</f>
        <v/>
      </c>
      <c r="Z31">
        <f>HYPERLINK("https://klasma.github.io/Logging_0582/klagomål/A 4709-2025 FSC-klagomål.docx", "A 4709-2025")</f>
        <v/>
      </c>
      <c r="AA31">
        <f>HYPERLINK("https://klasma.github.io/Logging_0582/klagomålsmail/A 4709-2025 FSC-klagomål mail.docx", "A 4709-2025")</f>
        <v/>
      </c>
      <c r="AB31">
        <f>HYPERLINK("https://klasma.github.io/Logging_0582/tillsyn/A 4709-2025 tillsynsbegäran.docx", "A 4709-2025")</f>
        <v/>
      </c>
      <c r="AC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46223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Hasselsnok</t>
        </is>
      </c>
      <c r="V32">
        <f>HYPERLINK("https://klasma.github.io/Logging_0582/artfynd/A 8156-2023 artfynd.xlsx", "A 8156-2023")</f>
        <v/>
      </c>
      <c r="W32">
        <f>HYPERLINK("https://klasma.github.io/Logging_0582/kartor/A 8156-2023 karta.png", "A 8156-2023")</f>
        <v/>
      </c>
      <c r="X32">
        <f>HYPERLINK("https://klasma.github.io/Logging_0582/kartor_geotiff/A 8156-2023 georefererad karta.tif", "A 8156-2023")</f>
        <v/>
      </c>
      <c r="Z32">
        <f>HYPERLINK("https://klasma.github.io/Logging_0582/klagomål/A 8156-2023 FSC-klagomål.docx", "A 8156-2023")</f>
        <v/>
      </c>
      <c r="AA32">
        <f>HYPERLINK("https://klasma.github.io/Logging_0582/klagomålsmail/A 8156-2023 FSC-klagomål mail.docx", "A 8156-2023")</f>
        <v/>
      </c>
      <c r="AB32">
        <f>HYPERLINK("https://klasma.github.io/Logging_0582/tillsyn/A 8156-2023 tillsynsbegäran.docx", "A 8156-2023")</f>
        <v/>
      </c>
      <c r="AC32">
        <f>HYPERLINK("https://klasma.github.io/Logging_0582/tillsynsmail/A 8156-2023 tillsynsbegäran mail.docx", "A 8156-2023")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46223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Vippärt</t>
        </is>
      </c>
      <c r="V33">
        <f>HYPERLINK("https://klasma.github.io/Logging_0582/artfynd/A 28549-2024 artfynd.xlsx", "A 28549-2024")</f>
        <v/>
      </c>
      <c r="W33">
        <f>HYPERLINK("https://klasma.github.io/Logging_0582/kartor/A 28549-2024 karta.png", "A 28549-2024")</f>
        <v/>
      </c>
      <c r="X33">
        <f>HYPERLINK("https://klasma.github.io/Logging_0582/kartor_geotiff/A 28549-2024 georefererad karta.tif", "A 28549-2024")</f>
        <v/>
      </c>
      <c r="Z33">
        <f>HYPERLINK("https://klasma.github.io/Logging_0582/klagomål/A 28549-2024 FSC-klagomål.docx", "A 28549-2024")</f>
        <v/>
      </c>
      <c r="AA33">
        <f>HYPERLINK("https://klasma.github.io/Logging_0582/klagomålsmail/A 28549-2024 FSC-klagomål mail.docx", "A 28549-2024")</f>
        <v/>
      </c>
      <c r="AB33">
        <f>HYPERLINK("https://klasma.github.io/Logging_0582/tillsyn/A 28549-2024 tillsynsbegäran.docx", "A 28549-2024")</f>
        <v/>
      </c>
      <c r="AC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46223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Nattskärra</t>
        </is>
      </c>
      <c r="V34">
        <f>HYPERLINK("https://klasma.github.io/Logging_0582/artfynd/A 30324-2024 artfynd.xlsx", "A 30324-2024")</f>
        <v/>
      </c>
      <c r="W34">
        <f>HYPERLINK("https://klasma.github.io/Logging_0582/kartor/A 30324-2024 karta.png", "A 30324-2024")</f>
        <v/>
      </c>
      <c r="X34">
        <f>HYPERLINK("https://klasma.github.io/Logging_0582/kartor_geotiff/A 30324-2024 georefererad karta.tif", "A 30324-2024")</f>
        <v/>
      </c>
      <c r="Z34">
        <f>HYPERLINK("https://klasma.github.io/Logging_0582/klagomål/A 30324-2024 FSC-klagomål.docx", "A 30324-2024")</f>
        <v/>
      </c>
      <c r="AA34">
        <f>HYPERLINK("https://klasma.github.io/Logging_0582/klagomålsmail/A 30324-2024 FSC-klagomål mail.docx", "A 30324-2024")</f>
        <v/>
      </c>
      <c r="AB34">
        <f>HYPERLINK("https://klasma.github.io/Logging_0582/tillsyn/A 30324-2024 tillsynsbegäran.docx", "A 30324-2024")</f>
        <v/>
      </c>
      <c r="AC34">
        <f>HYPERLINK("https://klasma.github.io/Logging_0582/tillsynsmail/A 30324-2024 tillsynsbegäran mail.docx", "A 30324-2024")</f>
        <v/>
      </c>
      <c r="AD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46223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X35">
        <f>HYPERLINK("https://klasma.github.io/Logging_0582/kartor_geotiff/S 466-2026 georefererad karta.tif", "S 466-2026")</f>
        <v/>
      </c>
      <c r="Z35">
        <f>HYPERLINK("https://klasma.github.io/Logging_0582/klagomål/S 466-2026 FSC-klagomål.docx", "S 466-2026")</f>
        <v/>
      </c>
      <c r="AA35">
        <f>HYPERLINK("https://klasma.github.io/Logging_0582/klagomålsmail/S 466-2026 FSC-klagomål mail.docx", "S 466-2026")</f>
        <v/>
      </c>
      <c r="AB35">
        <f>HYPERLINK("https://klasma.github.io/Logging_0582/tillsyn/S 466-2026 tillsynsbegäran.docx", "S 466-2026")</f>
        <v/>
      </c>
      <c r="AC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46223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X36">
        <f>HYPERLINK("https://klasma.github.io/Logging_0582/kartor_geotiff/S 1539-2026 georefererad karta.tif", "S 1539-2026")</f>
        <v/>
      </c>
      <c r="Z36">
        <f>HYPERLINK("https://klasma.github.io/Logging_0582/klagomål/S 1539-2026 FSC-klagomål.docx", "S 1539-2026")</f>
        <v/>
      </c>
      <c r="AA36">
        <f>HYPERLINK("https://klasma.github.io/Logging_0582/klagomålsmail/S 1539-2026 FSC-klagomål mail.docx", "S 1539-2026")</f>
        <v/>
      </c>
      <c r="AB36">
        <f>HYPERLINK("https://klasma.github.io/Logging_0582/tillsyn/S 1539-2026 tillsynsbegäran.docx", "S 1539-2026")</f>
        <v/>
      </c>
      <c r="AC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46223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46223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46223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46223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46223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46223</v>
      </c>
      <c r="F42" t="inlineStr">
        <is>
          <t>ÖSTERGÖTLANDS LÄN</t>
        </is>
      </c>
      <c r="G42" t="inlineStr">
        <is>
          <t>SÖDERKÖPING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46223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46223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46223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40642-2021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44420</v>
      </c>
      <c r="E46" s="1" t="n">
        <v>46223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46223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46223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46223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46223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46223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46223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46223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46223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46223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46223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46223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46223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46223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46223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46223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46223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46223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66356-2021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46223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46223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46223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46223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46223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46223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46223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Holmen skog AB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50050-2023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45215</v>
      </c>
      <c r="E71" s="1" t="n">
        <v>46223</v>
      </c>
      <c r="F71" t="inlineStr">
        <is>
          <t>ÖSTERGÖTLANDS LÄN</t>
        </is>
      </c>
      <c r="G71" t="inlineStr">
        <is>
          <t>SÖDERKÖPING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53777-2023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46223</v>
      </c>
      <c r="F72" t="inlineStr">
        <is>
          <t>ÖSTERGÖTLANDS LÄN</t>
        </is>
      </c>
      <c r="G72" t="inlineStr">
        <is>
          <t>SÖDERKÖPING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45297</v>
      </c>
      <c r="E73" s="1" t="n">
        <v>46223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26915-2023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46223</v>
      </c>
      <c r="F74" t="inlineStr">
        <is>
          <t>ÖSTERGÖTLANDS LÄN</t>
        </is>
      </c>
      <c r="G74" t="inlineStr">
        <is>
          <t>SÖDERKÖPING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46223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36734-2022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46223</v>
      </c>
      <c r="F76" t="inlineStr">
        <is>
          <t>ÖSTERGÖTLANDS LÄN</t>
        </is>
      </c>
      <c r="G76" t="inlineStr">
        <is>
          <t>SÖDERKÖPING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33726-2023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45119</v>
      </c>
      <c r="E77" s="1" t="n">
        <v>46223</v>
      </c>
      <c r="F77" t="inlineStr">
        <is>
          <t>ÖSTERGÖTLANDS LÄN</t>
        </is>
      </c>
      <c r="G77" t="inlineStr">
        <is>
          <t>SÖDERKÖPING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30114-2024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45489</v>
      </c>
      <c r="E78" s="1" t="n">
        <v>46223</v>
      </c>
      <c r="F78" t="inlineStr">
        <is>
          <t>ÖSTERGÖTLANDS LÄN</t>
        </is>
      </c>
      <c r="G78" t="inlineStr">
        <is>
          <t>SÖDERKÖPING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9734-2023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46223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9799-2023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46223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46223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41363-2023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46223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10369-2024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46223</v>
      </c>
      <c r="F83" t="inlineStr">
        <is>
          <t>ÖSTERGÖTLANDS LÄN</t>
        </is>
      </c>
      <c r="G83" t="inlineStr">
        <is>
          <t>SÖDERKÖPING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8999-2023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46223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46223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46223</v>
      </c>
      <c r="F86" t="inlineStr">
        <is>
          <t>ÖSTERGÖTLANDS LÄN</t>
        </is>
      </c>
      <c r="G86" t="inlineStr">
        <is>
          <t>SÖDERKÖPING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46223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46223</v>
      </c>
      <c r="F88" t="inlineStr">
        <is>
          <t>ÖSTERGÖTLANDS LÄN</t>
        </is>
      </c>
      <c r="G88" t="inlineStr">
        <is>
          <t>SÖDERKÖPING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46223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38646-2024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46223</v>
      </c>
      <c r="F90" t="inlineStr">
        <is>
          <t>ÖSTERGÖTLANDS LÄN</t>
        </is>
      </c>
      <c r="G90" t="inlineStr">
        <is>
          <t>SÖDERKÖPING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46223</v>
      </c>
      <c r="F91" t="inlineStr">
        <is>
          <t>ÖSTERGÖTLANDS LÄN</t>
        </is>
      </c>
      <c r="G91" t="inlineStr">
        <is>
          <t>SÖDERKÖPING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46223</v>
      </c>
      <c r="F92" t="inlineStr">
        <is>
          <t>ÖSTERGÖTLANDS LÄN</t>
        </is>
      </c>
      <c r="G92" t="inlineStr">
        <is>
          <t>SÖDERKÖPING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55853-2022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44888</v>
      </c>
      <c r="E93" s="1" t="n">
        <v>46223</v>
      </c>
      <c r="F93" t="inlineStr">
        <is>
          <t>ÖSTERGÖTLANDS LÄN</t>
        </is>
      </c>
      <c r="G93" t="inlineStr">
        <is>
          <t>SÖDERKÖPING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46223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46223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51748-2023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46223</v>
      </c>
      <c r="F96" t="inlineStr">
        <is>
          <t>ÖSTERGÖTLANDS LÄN</t>
        </is>
      </c>
      <c r="G96" t="inlineStr">
        <is>
          <t>SÖDERKÖPING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46223</v>
      </c>
      <c r="F97" t="inlineStr">
        <is>
          <t>ÖSTERGÖTLANDS LÄN</t>
        </is>
      </c>
      <c r="G97" t="inlineStr">
        <is>
          <t>SÖDERKÖPING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60640-2022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44911</v>
      </c>
      <c r="E98" s="1" t="n">
        <v>46223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39854-2025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46223</v>
      </c>
      <c r="F99" t="inlineStr">
        <is>
          <t>ÖSTERGÖTLANDS LÄN</t>
        </is>
      </c>
      <c r="G99" t="inlineStr">
        <is>
          <t>SÖDERKÖPING</t>
        </is>
      </c>
      <c r="I99" t="n">
        <v>26.6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53315-2024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45614</v>
      </c>
      <c r="E100" s="1" t="n">
        <v>46223</v>
      </c>
      <c r="F100" t="inlineStr">
        <is>
          <t>ÖSTERGÖTLANDS LÄN</t>
        </is>
      </c>
      <c r="G100" t="inlineStr">
        <is>
          <t>SÖDERKÖPING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46223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Kyrkan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46223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45344</v>
      </c>
      <c r="E103" s="1" t="n">
        <v>46223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42768-2025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46223</v>
      </c>
      <c r="F104" t="inlineStr">
        <is>
          <t>ÖSTERGÖTLANDS LÄN</t>
        </is>
      </c>
      <c r="G104" t="inlineStr">
        <is>
          <t>SÖDERKÖPING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11673-2023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46223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45518-2025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46223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46223</v>
      </c>
      <c r="F107" t="inlineStr">
        <is>
          <t>ÖSTERGÖTLANDS LÄN</t>
        </is>
      </c>
      <c r="G107" t="inlineStr">
        <is>
          <t>SÖDERKÖPING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34392-2025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45846</v>
      </c>
      <c r="E108" s="1" t="n">
        <v>46223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34404-2025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45846</v>
      </c>
      <c r="E109" s="1" t="n">
        <v>46223</v>
      </c>
      <c r="F109" t="inlineStr">
        <is>
          <t>ÖSTERGÖTLANDS LÄN</t>
        </is>
      </c>
      <c r="G109" t="inlineStr">
        <is>
          <t>SÖDERKÖPING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46223</v>
      </c>
      <c r="F110" t="inlineStr">
        <is>
          <t>ÖSTERGÖTLANDS LÄN</t>
        </is>
      </c>
      <c r="G110" t="inlineStr">
        <is>
          <t>SÖDERKÖPING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46223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46223</v>
      </c>
      <c r="F112" t="inlineStr">
        <is>
          <t>ÖSTERGÖTLANDS LÄN</t>
        </is>
      </c>
      <c r="G112" t="inlineStr">
        <is>
          <t>SÖDERKÖPING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26432-2022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44736</v>
      </c>
      <c r="E113" s="1" t="n">
        <v>46223</v>
      </c>
      <c r="F113" t="inlineStr">
        <is>
          <t>ÖSTERGÖTLANDS LÄN</t>
        </is>
      </c>
      <c r="G113" t="inlineStr">
        <is>
          <t>SÖDERKÖPING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45315</v>
      </c>
      <c r="E114" s="1" t="n">
        <v>46223</v>
      </c>
      <c r="F114" t="inlineStr">
        <is>
          <t>ÖSTERGÖTLANDS LÄN</t>
        </is>
      </c>
      <c r="G114" t="inlineStr">
        <is>
          <t>SÖDERKÖPING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34969-2025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45849</v>
      </c>
      <c r="E115" s="1" t="n">
        <v>46223</v>
      </c>
      <c r="F115" t="inlineStr">
        <is>
          <t>ÖSTERGÖTLANDS LÄN</t>
        </is>
      </c>
      <c r="G115" t="inlineStr">
        <is>
          <t>SÖDERKÖPING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46223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46223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46055</v>
      </c>
      <c r="E118" s="1" t="n">
        <v>46223</v>
      </c>
      <c r="F118" t="inlineStr">
        <is>
          <t>ÖSTERGÖTLANDS LÄN</t>
        </is>
      </c>
      <c r="G118" t="inlineStr">
        <is>
          <t>SÖDERKÖPING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46223</v>
      </c>
      <c r="F119" t="inlineStr">
        <is>
          <t>ÖSTERGÖTLANDS LÄN</t>
        </is>
      </c>
      <c r="G119" t="inlineStr">
        <is>
          <t>SÖDERKÖPING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46223</v>
      </c>
      <c r="F120" t="inlineStr">
        <is>
          <t>ÖSTERGÖTLANDS LÄN</t>
        </is>
      </c>
      <c r="G120" t="inlineStr">
        <is>
          <t>SÖDERKÖPING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46223</v>
      </c>
      <c r="F121" t="inlineStr">
        <is>
          <t>ÖSTERGÖTLANDS LÄN</t>
        </is>
      </c>
      <c r="G121" t="inlineStr">
        <is>
          <t>SÖDERKÖPING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46223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46223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46223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46649-2025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46223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46780-2025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46223</v>
      </c>
      <c r="F126" t="inlineStr">
        <is>
          <t>ÖSTERGÖTLANDS LÄN</t>
        </is>
      </c>
      <c r="G126" t="inlineStr">
        <is>
          <t>SÖDERKÖPING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46223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46223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46223</v>
      </c>
      <c r="F129" t="inlineStr">
        <is>
          <t>ÖSTERGÖTLANDS LÄN</t>
        </is>
      </c>
      <c r="G129" t="inlineStr">
        <is>
          <t>SÖDERKÖPING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47428-2024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46223</v>
      </c>
      <c r="F130" t="inlineStr">
        <is>
          <t>ÖSTERGÖTLANDS LÄN</t>
        </is>
      </c>
      <c r="G130" t="inlineStr">
        <is>
          <t>SÖDERKÖPING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46223</v>
      </c>
      <c r="F131" t="inlineStr">
        <is>
          <t>ÖSTERGÖTLANDS LÄN</t>
        </is>
      </c>
      <c r="G131" t="inlineStr">
        <is>
          <t>SÖDERKÖPING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46223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Kyrkan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29514-2023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46223</v>
      </c>
      <c r="F133" t="inlineStr">
        <is>
          <t>ÖSTERGÖTLANDS LÄN</t>
        </is>
      </c>
      <c r="G133" t="inlineStr">
        <is>
          <t>SÖDERKÖPING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46223</v>
      </c>
      <c r="F134" t="inlineStr">
        <is>
          <t>ÖSTERGÖTLANDS LÄN</t>
        </is>
      </c>
      <c r="G134" t="inlineStr">
        <is>
          <t>SÖDERKÖPING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46223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37345-2025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46223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45663</v>
      </c>
      <c r="E137" s="1" t="n">
        <v>46223</v>
      </c>
      <c r="F137" t="inlineStr">
        <is>
          <t>ÖSTERGÖTLANDS LÄN</t>
        </is>
      </c>
      <c r="G137" t="inlineStr">
        <is>
          <t>SÖDERKÖPING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46223</v>
      </c>
      <c r="F138" t="inlineStr">
        <is>
          <t>ÖSTERGÖTLANDS LÄN</t>
        </is>
      </c>
      <c r="G138" t="inlineStr">
        <is>
          <t>SÖDERKÖPING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26058-2022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46223</v>
      </c>
      <c r="F139" t="inlineStr">
        <is>
          <t>ÖSTERGÖTLANDS LÄN</t>
        </is>
      </c>
      <c r="G139" t="inlineStr">
        <is>
          <t>SÖDERKÖPING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37694-2023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46223</v>
      </c>
      <c r="F140" t="inlineStr">
        <is>
          <t>ÖSTERGÖTLANDS LÄN</t>
        </is>
      </c>
      <c r="G140" t="inlineStr">
        <is>
          <t>SÖDERKÖPING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7440-2026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46223</v>
      </c>
      <c r="F141" t="inlineStr">
        <is>
          <t>ÖSTERGÖTLANDS LÄN</t>
        </is>
      </c>
      <c r="G141" t="inlineStr">
        <is>
          <t>SÖDERKÖPING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7822-2026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46223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46061</v>
      </c>
      <c r="E143" s="1" t="n">
        <v>46223</v>
      </c>
      <c r="F143" t="inlineStr">
        <is>
          <t>ÖSTERGÖTLANDS LÄN</t>
        </is>
      </c>
      <c r="G143" t="inlineStr">
        <is>
          <t>SÖDERKÖPING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35326-2022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44798</v>
      </c>
      <c r="E144" s="1" t="n">
        <v>46223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46223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46223</v>
      </c>
      <c r="F146" t="inlineStr">
        <is>
          <t>ÖSTERGÖTLANDS LÄN</t>
        </is>
      </c>
      <c r="G146" t="inlineStr">
        <is>
          <t>SÖDERKÖPING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60160-2021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44495</v>
      </c>
      <c r="E147" s="1" t="n">
        <v>46223</v>
      </c>
      <c r="F147" t="inlineStr">
        <is>
          <t>ÖSTERGÖTLANDS LÄN</t>
        </is>
      </c>
      <c r="G147" t="inlineStr">
        <is>
          <t>SÖDERKÖPING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9052-2026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46223</v>
      </c>
      <c r="F148" t="inlineStr">
        <is>
          <t>ÖSTERGÖTLANDS LÄN</t>
        </is>
      </c>
      <c r="G148" t="inlineStr">
        <is>
          <t>SÖDERKÖPING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46223</v>
      </c>
      <c r="F149" t="inlineStr">
        <is>
          <t>ÖSTERGÖTLANDS LÄN</t>
        </is>
      </c>
      <c r="G149" t="inlineStr">
        <is>
          <t>SÖDERKÖPING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46223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46223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16417-2025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45751</v>
      </c>
      <c r="E152" s="1" t="n">
        <v>46223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44859-2023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46223</v>
      </c>
      <c r="F153" t="inlineStr">
        <is>
          <t>ÖSTERGÖTLANDS LÄN</t>
        </is>
      </c>
      <c r="G153" t="inlineStr">
        <is>
          <t>SÖDERKÖPING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44953</v>
      </c>
      <c r="E154" s="1" t="n">
        <v>46223</v>
      </c>
      <c r="F154" t="inlineStr">
        <is>
          <t>ÖSTERGÖTLANDS LÄN</t>
        </is>
      </c>
      <c r="G154" t="inlineStr">
        <is>
          <t>SÖDERKÖPING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11005-2026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46079</v>
      </c>
      <c r="E155" s="1" t="n">
        <v>46223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Kyrkan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56166-2025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46223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20783-2023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46223</v>
      </c>
      <c r="F157" t="inlineStr">
        <is>
          <t>ÖSTERGÖTLANDS LÄN</t>
        </is>
      </c>
      <c r="G157" t="inlineStr">
        <is>
          <t>SÖDERKÖPING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56163-2025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46223</v>
      </c>
      <c r="F158" t="inlineStr">
        <is>
          <t>ÖSTERGÖTLANDS LÄN</t>
        </is>
      </c>
      <c r="G158" t="inlineStr">
        <is>
          <t>SÖDERKÖPING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20221-2023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45055</v>
      </c>
      <c r="E159" s="1" t="n">
        <v>46223</v>
      </c>
      <c r="F159" t="inlineStr">
        <is>
          <t>ÖSTERGÖTLANDS LÄN</t>
        </is>
      </c>
      <c r="G159" t="inlineStr">
        <is>
          <t>SÖDERKÖPING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50241-2022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46223</v>
      </c>
      <c r="F160" t="inlineStr">
        <is>
          <t>ÖSTERGÖTLANDS LÄN</t>
        </is>
      </c>
      <c r="G160" t="inlineStr">
        <is>
          <t>SÖDERKÖPING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46223</v>
      </c>
      <c r="F161" t="inlineStr">
        <is>
          <t>ÖSTERGÖTLANDS LÄN</t>
        </is>
      </c>
      <c r="G161" t="inlineStr">
        <is>
          <t>SÖDERKÖPING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11619-2026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46223</v>
      </c>
      <c r="F162" t="inlineStr">
        <is>
          <t>ÖSTERGÖTLANDS LÄN</t>
        </is>
      </c>
      <c r="G162" t="inlineStr">
        <is>
          <t>SÖDERKÖPING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58450-2025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46223</v>
      </c>
      <c r="F163" t="inlineStr">
        <is>
          <t>ÖSTERGÖTLANDS LÄN</t>
        </is>
      </c>
      <c r="G163" t="inlineStr">
        <is>
          <t>SÖDERKÖPING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18794-2024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46223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13792-2025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46223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46223</v>
      </c>
      <c r="F166" t="inlineStr">
        <is>
          <t>ÖSTERGÖTLANDS LÄN</t>
        </is>
      </c>
      <c r="G166" t="inlineStr">
        <is>
          <t>SÖDERKÖPING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46223</v>
      </c>
      <c r="F167" t="inlineStr">
        <is>
          <t>ÖSTERGÖTLANDS LÄN</t>
        </is>
      </c>
      <c r="G167" t="inlineStr">
        <is>
          <t>SÖDERKÖPING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14777-2026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46223</v>
      </c>
      <c r="F168" t="inlineStr">
        <is>
          <t>ÖSTERGÖTLANDS LÄN</t>
        </is>
      </c>
      <c r="G168" t="inlineStr">
        <is>
          <t>SÖDERKÖPING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46223</v>
      </c>
      <c r="F169" t="inlineStr">
        <is>
          <t>ÖSTERGÖTLANDS LÄN</t>
        </is>
      </c>
      <c r="G169" t="inlineStr">
        <is>
          <t>SÖDERKÖPING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61813-2025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46223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46223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61817-2025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46223</v>
      </c>
      <c r="F172" t="inlineStr">
        <is>
          <t>ÖSTERGÖTLANDS LÄN</t>
        </is>
      </c>
      <c r="G172" t="inlineStr">
        <is>
          <t>SÖDERKÖPING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14776-2026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46223</v>
      </c>
      <c r="F173" t="inlineStr">
        <is>
          <t>ÖSTERGÖTLANDS LÄN</t>
        </is>
      </c>
      <c r="G173" t="inlineStr">
        <is>
          <t>SÖDERKÖPING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62724-2025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46223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33735-2023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46223</v>
      </c>
      <c r="F175" t="inlineStr">
        <is>
          <t>ÖSTERGÖTLANDS LÄN</t>
        </is>
      </c>
      <c r="G175" t="inlineStr">
        <is>
          <t>SÖDERKÖPING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62730-2025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46223</v>
      </c>
      <c r="F176" t="inlineStr">
        <is>
          <t>ÖSTERGÖTLANDS LÄN</t>
        </is>
      </c>
      <c r="G176" t="inlineStr">
        <is>
          <t>SÖDERKÖPING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63236-2025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46223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Allmännings- och besparingsskogar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66075-2021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46223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Kyrkan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46223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6546-2023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46223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47419-2024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46223</v>
      </c>
      <c r="F181" t="inlineStr">
        <is>
          <t>ÖSTERGÖTLANDS LÄN</t>
        </is>
      </c>
      <c r="G181" t="inlineStr">
        <is>
          <t>SÖDERKÖPING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22512-2024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46223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Kommuner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15462-2026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46223</v>
      </c>
      <c r="F183" t="inlineStr">
        <is>
          <t>ÖSTERGÖTLANDS LÄN</t>
        </is>
      </c>
      <c r="G183" t="inlineStr">
        <is>
          <t>SÖDERKÖPING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6535-2023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46223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46223</v>
      </c>
      <c r="F185" t="inlineStr">
        <is>
          <t>ÖSTERGÖTLANDS LÄN</t>
        </is>
      </c>
      <c r="G185" t="inlineStr">
        <is>
          <t>SÖDERKÖPING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46223</v>
      </c>
      <c r="F186" t="inlineStr">
        <is>
          <t>ÖSTERGÖTLANDS LÄN</t>
        </is>
      </c>
      <c r="G186" t="inlineStr">
        <is>
          <t>SÖDERKÖPING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46223</v>
      </c>
      <c r="F187" t="inlineStr">
        <is>
          <t>ÖSTERGÖTLANDS LÄN</t>
        </is>
      </c>
      <c r="G187" t="inlineStr">
        <is>
          <t>SÖDERKÖPING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16254-2026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46223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46223</v>
      </c>
      <c r="F189" t="inlineStr">
        <is>
          <t>ÖSTERGÖTLANDS LÄN</t>
        </is>
      </c>
      <c r="G189" t="inlineStr">
        <is>
          <t>SÖDERKÖPING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46223</v>
      </c>
      <c r="F190" t="inlineStr">
        <is>
          <t>ÖSTERGÖTLANDS LÄN</t>
        </is>
      </c>
      <c r="G190" t="inlineStr">
        <is>
          <t>SÖDERKÖPING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46223</v>
      </c>
      <c r="F191" t="inlineStr">
        <is>
          <t>ÖSTERGÖTLANDS LÄN</t>
        </is>
      </c>
      <c r="G191" t="inlineStr">
        <is>
          <t>SÖDERKÖPING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42358-2023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46223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46223</v>
      </c>
      <c r="F193" t="inlineStr">
        <is>
          <t>ÖSTERGÖTLANDS LÄN</t>
        </is>
      </c>
      <c r="G193" t="inlineStr">
        <is>
          <t>SÖDERKÖPING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41245-2023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46223</v>
      </c>
      <c r="F194" t="inlineStr">
        <is>
          <t>ÖSTERGÖTLANDS LÄN</t>
        </is>
      </c>
      <c r="G194" t="inlineStr">
        <is>
          <t>SÖDERKÖPING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15034-2024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45399</v>
      </c>
      <c r="E195" s="1" t="n">
        <v>46223</v>
      </c>
      <c r="F195" t="inlineStr">
        <is>
          <t>ÖSTERGÖTLANDS LÄN</t>
        </is>
      </c>
      <c r="G195" t="inlineStr">
        <is>
          <t>SÖDERKÖPING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12708-2024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46223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46742-2025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46223</v>
      </c>
      <c r="F197" t="inlineStr">
        <is>
          <t>ÖSTERGÖTLANDS LÄN</t>
        </is>
      </c>
      <c r="G197" t="inlineStr">
        <is>
          <t>SÖDERKÖPING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46223</v>
      </c>
      <c r="F198" t="inlineStr">
        <is>
          <t>ÖSTERGÖTLANDS LÄN</t>
        </is>
      </c>
      <c r="G198" t="inlineStr">
        <is>
          <t>SÖDERKÖPING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46223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46223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46223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17357-2025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45756</v>
      </c>
      <c r="E202" s="1" t="n">
        <v>46223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49569-2022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46223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47368-2021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46223</v>
      </c>
      <c r="F204" t="inlineStr">
        <is>
          <t>ÖSTERGÖTLANDS LÄN</t>
        </is>
      </c>
      <c r="G204" t="inlineStr">
        <is>
          <t>SÖDERKÖPING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46223</v>
      </c>
      <c r="F205" t="inlineStr">
        <is>
          <t>ÖSTERGÖTLANDS LÄN</t>
        </is>
      </c>
      <c r="G205" t="inlineStr">
        <is>
          <t>SÖDERKÖPING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38595-2022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46223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45044-2023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46223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13865-2025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46223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Holmen skog AB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13889-2025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46223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46223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50588-2024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46223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46223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42753-2023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46223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27464-2023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46223</v>
      </c>
      <c r="F214" t="inlineStr">
        <is>
          <t>ÖSTERGÖTLANDS LÄN</t>
        </is>
      </c>
      <c r="G214" t="inlineStr">
        <is>
          <t>SÖDERKÖPING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46223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21416-2025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45782</v>
      </c>
      <c r="E216" s="1" t="n">
        <v>46223</v>
      </c>
      <c r="F216" t="inlineStr">
        <is>
          <t>ÖSTERGÖTLANDS LÄN</t>
        </is>
      </c>
      <c r="G216" t="inlineStr">
        <is>
          <t>SÖDERKÖPING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20258-2026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46223</v>
      </c>
      <c r="F217" t="inlineStr">
        <is>
          <t>ÖSTERGÖTLANDS LÄN</t>
        </is>
      </c>
      <c r="G217" t="inlineStr">
        <is>
          <t>SÖDERKÖPING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26912-2023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46223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46139</v>
      </c>
      <c r="E219" s="1" t="n">
        <v>46223</v>
      </c>
      <c r="F219" t="inlineStr">
        <is>
          <t>ÖSTERGÖTLANDS LÄN</t>
        </is>
      </c>
      <c r="G219" t="inlineStr">
        <is>
          <t>SÖDERKÖPING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20254-2023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46223</v>
      </c>
      <c r="F220" t="inlineStr">
        <is>
          <t>ÖSTERGÖTLANDS LÄN</t>
        </is>
      </c>
      <c r="G220" t="inlineStr">
        <is>
          <t>SÖDERKÖPING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46223</v>
      </c>
      <c r="F221" t="inlineStr">
        <is>
          <t>ÖSTERGÖTLANDS LÄN</t>
        </is>
      </c>
      <c r="G221" t="inlineStr">
        <is>
          <t>SÖDERKÖPING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46223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50040-2023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46223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Kyrkan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33736-2023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46223</v>
      </c>
      <c r="F224" t="inlineStr">
        <is>
          <t>ÖSTERGÖTLANDS LÄN</t>
        </is>
      </c>
      <c r="G224" t="inlineStr">
        <is>
          <t>SÖDERKÖPING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20265-2026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46223</v>
      </c>
      <c r="F225" t="inlineStr">
        <is>
          <t>ÖSTERGÖTLANDS LÄN</t>
        </is>
      </c>
      <c r="G225" t="inlineStr">
        <is>
          <t>SÖDERKÖPING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46223</v>
      </c>
      <c r="F226" t="inlineStr">
        <is>
          <t>ÖSTERGÖTLANDS LÄN</t>
        </is>
      </c>
      <c r="G226" t="inlineStr">
        <is>
          <t>SÖDERKÖPING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44593</v>
      </c>
      <c r="E227" s="1" t="n">
        <v>46223</v>
      </c>
      <c r="F227" t="inlineStr">
        <is>
          <t>ÖSTERGÖTLANDS LÄN</t>
        </is>
      </c>
      <c r="G227" t="inlineStr">
        <is>
          <t>SÖDERKÖPING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46223</v>
      </c>
      <c r="F228" t="inlineStr">
        <is>
          <t>ÖSTERGÖTLANDS LÄN</t>
        </is>
      </c>
      <c r="G228" t="inlineStr">
        <is>
          <t>SÖDERKÖPING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9746-2022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44618</v>
      </c>
      <c r="E229" s="1" t="n">
        <v>46223</v>
      </c>
      <c r="F229" t="inlineStr">
        <is>
          <t>ÖSTERGÖTLANDS LÄN</t>
        </is>
      </c>
      <c r="G229" t="inlineStr">
        <is>
          <t>SÖDERKÖPING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21901-2022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44711</v>
      </c>
      <c r="E230" s="1" t="n">
        <v>46223</v>
      </c>
      <c r="F230" t="inlineStr">
        <is>
          <t>ÖSTERGÖTLANDS LÄN</t>
        </is>
      </c>
      <c r="G230" t="inlineStr">
        <is>
          <t>SÖDERKÖPING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49367-2023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46223</v>
      </c>
      <c r="F231" t="inlineStr">
        <is>
          <t>ÖSTERGÖTLANDS LÄN</t>
        </is>
      </c>
      <c r="G231" t="inlineStr">
        <is>
          <t>SÖDERKÖPING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20301-2026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46223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20250-2026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46139</v>
      </c>
      <c r="E233" s="1" t="n">
        <v>46223</v>
      </c>
      <c r="F233" t="inlineStr">
        <is>
          <t>ÖSTERGÖTLANDS LÄN</t>
        </is>
      </c>
      <c r="G233" t="inlineStr">
        <is>
          <t>SÖDERKÖPING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46417-2023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46223</v>
      </c>
      <c r="F234" t="inlineStr">
        <is>
          <t>ÖSTERGÖTLANDS LÄN</t>
        </is>
      </c>
      <c r="G234" t="inlineStr">
        <is>
          <t>SÖDERKÖPING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46223</v>
      </c>
      <c r="F235" t="inlineStr">
        <is>
          <t>ÖSTERGÖTLANDS LÄN</t>
        </is>
      </c>
      <c r="G235" t="inlineStr">
        <is>
          <t>SÖDERKÖPING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45174</v>
      </c>
      <c r="E236" s="1" t="n">
        <v>46223</v>
      </c>
      <c r="F236" t="inlineStr">
        <is>
          <t>ÖSTERGÖTLANDS LÄN</t>
        </is>
      </c>
      <c r="G236" t="inlineStr">
        <is>
          <t>SÖDERKÖPING</t>
        </is>
      </c>
      <c r="I236" t="n">
        <v>15.3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20684-2026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46223</v>
      </c>
      <c r="F237" t="inlineStr">
        <is>
          <t>ÖSTERGÖTLANDS LÄN</t>
        </is>
      </c>
      <c r="G237" t="inlineStr">
        <is>
          <t>SÖDERKÖPING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46223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26576-2026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46223</v>
      </c>
      <c r="F239" t="inlineStr">
        <is>
          <t>ÖSTERGÖTLANDS LÄN</t>
        </is>
      </c>
      <c r="G239" t="inlineStr">
        <is>
          <t>SÖDERKÖPING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26582-2026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46223</v>
      </c>
      <c r="F240" t="inlineStr">
        <is>
          <t>ÖSTERGÖTLANDS LÄN</t>
        </is>
      </c>
      <c r="G240" t="inlineStr">
        <is>
          <t>SÖDERKÖPING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46223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46223</v>
      </c>
      <c r="F242" t="inlineStr">
        <is>
          <t>ÖSTERGÖTLANDS LÄN</t>
        </is>
      </c>
      <c r="G242" t="inlineStr">
        <is>
          <t>SÖDERKÖPING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20705-2026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46223</v>
      </c>
      <c r="F243" t="inlineStr">
        <is>
          <t>ÖSTERGÖTLANDS LÄN</t>
        </is>
      </c>
      <c r="G243" t="inlineStr">
        <is>
          <t>SÖDERKÖPING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55772-2023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46223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26439-2026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46183</v>
      </c>
      <c r="E245" s="1" t="n">
        <v>46223</v>
      </c>
      <c r="F245" t="inlineStr">
        <is>
          <t>ÖSTERGÖTLANDS LÄN</t>
        </is>
      </c>
      <c r="G245" t="inlineStr">
        <is>
          <t>SÖDERKÖPING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58372-2023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45250</v>
      </c>
      <c r="E246" s="1" t="n">
        <v>46223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58398-2023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46223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43891-2023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46223</v>
      </c>
      <c r="F248" t="inlineStr">
        <is>
          <t>ÖSTERGÖTLANDS LÄN</t>
        </is>
      </c>
      <c r="G248" t="inlineStr">
        <is>
          <t>SÖDERKÖPING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20688-2026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46223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40357-2023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46223</v>
      </c>
      <c r="F250" t="inlineStr">
        <is>
          <t>ÖSTERGÖTLANDS LÄN</t>
        </is>
      </c>
      <c r="G250" t="inlineStr">
        <is>
          <t>SÖDERKÖPING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34979-2025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46223</v>
      </c>
      <c r="F251" t="inlineStr">
        <is>
          <t>ÖSTERGÖTLANDS LÄN</t>
        </is>
      </c>
      <c r="G251" t="inlineStr">
        <is>
          <t>SÖDERKÖPING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46223</v>
      </c>
      <c r="F252" t="inlineStr">
        <is>
          <t>ÖSTERGÖTLANDS LÄN</t>
        </is>
      </c>
      <c r="G252" t="inlineStr">
        <is>
          <t>SÖDERKÖPING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46223</v>
      </c>
      <c r="F253" t="inlineStr">
        <is>
          <t>ÖSTERGÖTLANDS LÄN</t>
        </is>
      </c>
      <c r="G253" t="inlineStr">
        <is>
          <t>SÖDERKÖPING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37684-2023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46223</v>
      </c>
      <c r="F254" t="inlineStr">
        <is>
          <t>ÖSTERGÖTLANDS LÄN</t>
        </is>
      </c>
      <c r="G254" t="inlineStr">
        <is>
          <t>SÖDERKÖPING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37687-2023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46223</v>
      </c>
      <c r="F255" t="inlineStr">
        <is>
          <t>ÖSTERGÖTLANDS LÄN</t>
        </is>
      </c>
      <c r="G255" t="inlineStr">
        <is>
          <t>SÖDERKÖPING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29660-2022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44754</v>
      </c>
      <c r="E256" s="1" t="n">
        <v>46223</v>
      </c>
      <c r="F256" t="inlineStr">
        <is>
          <t>ÖSTERGÖTLANDS LÄN</t>
        </is>
      </c>
      <c r="G256" t="inlineStr">
        <is>
          <t>SÖDERKÖPING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458-2024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45297</v>
      </c>
      <c r="E257" s="1" t="n">
        <v>46223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59471-2023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46223</v>
      </c>
      <c r="F258" t="inlineStr">
        <is>
          <t>ÖSTERGÖTLANDS LÄN</t>
        </is>
      </c>
      <c r="G258" t="inlineStr">
        <is>
          <t>SÖDERKÖPING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46223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21903-2026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46223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46223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21898-2026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46223</v>
      </c>
      <c r="F262" t="inlineStr">
        <is>
          <t>ÖSTERGÖTLANDS LÄN</t>
        </is>
      </c>
      <c r="G262" t="inlineStr">
        <is>
          <t>SÖDERKÖPING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54787-2022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46223</v>
      </c>
      <c r="F263" t="inlineStr">
        <is>
          <t>ÖSTERGÖTLANDS LÄN</t>
        </is>
      </c>
      <c r="G263" t="inlineStr">
        <is>
          <t>SÖDERKÖPING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21893-2026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46223</v>
      </c>
      <c r="F264" t="inlineStr">
        <is>
          <t>ÖSTERGÖTLANDS LÄN</t>
        </is>
      </c>
      <c r="G264" t="inlineStr">
        <is>
          <t>SÖDERKÖPING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46223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31628-2022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44775</v>
      </c>
      <c r="E266" s="1" t="n">
        <v>46223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46422-2023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46223</v>
      </c>
      <c r="F267" t="inlineStr">
        <is>
          <t>ÖSTERGÖTLANDS LÄN</t>
        </is>
      </c>
      <c r="G267" t="inlineStr">
        <is>
          <t>SÖDERKÖPING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45549-2023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46223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46223</v>
      </c>
      <c r="F269" t="inlineStr">
        <is>
          <t>ÖSTERGÖTLANDS LÄN</t>
        </is>
      </c>
      <c r="G269" t="inlineStr">
        <is>
          <t>SÖDERKÖPING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46223</v>
      </c>
      <c r="F270" t="inlineStr">
        <is>
          <t>ÖSTERGÖTLANDS LÄN</t>
        </is>
      </c>
      <c r="G270" t="inlineStr">
        <is>
          <t>SÖDERKÖPING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28383-2026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46223</v>
      </c>
      <c r="F271" t="inlineStr">
        <is>
          <t>ÖSTERGÖTLANDS LÄN</t>
        </is>
      </c>
      <c r="G271" t="inlineStr">
        <is>
          <t>SÖDERKÖPING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69425-2021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46223</v>
      </c>
      <c r="F272" t="inlineStr">
        <is>
          <t>ÖSTERGÖTLANDS LÄN</t>
        </is>
      </c>
      <c r="G272" t="inlineStr">
        <is>
          <t>SÖDERKÖPING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22482-2026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46223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64825-2023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45282</v>
      </c>
      <c r="E274" s="1" t="n">
        <v>46223</v>
      </c>
      <c r="F274" t="inlineStr">
        <is>
          <t>ÖSTERGÖTLANDS LÄN</t>
        </is>
      </c>
      <c r="G274" t="inlineStr">
        <is>
          <t>SÖDERKÖPING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22471-2026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46223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Kommuner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45457-2023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46223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46223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50051-2023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46223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66362-2021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44518</v>
      </c>
      <c r="E279" s="1" t="n">
        <v>46223</v>
      </c>
      <c r="F279" t="inlineStr">
        <is>
          <t>ÖSTERGÖTLANDS LÄN</t>
        </is>
      </c>
      <c r="G279" t="inlineStr">
        <is>
          <t>SÖDERKÖPING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56213-2022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46223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48395-2021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44452</v>
      </c>
      <c r="E281" s="1" t="n">
        <v>46223</v>
      </c>
      <c r="F281" t="inlineStr">
        <is>
          <t>ÖSTERGÖTLANDS LÄN</t>
        </is>
      </c>
      <c r="G281" t="inlineStr">
        <is>
          <t>SÖDERKÖPING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46223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9002-2023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46223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23120-2026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46223</v>
      </c>
      <c r="F284" t="inlineStr">
        <is>
          <t>ÖSTERGÖTLANDS LÄN</t>
        </is>
      </c>
      <c r="G284" t="inlineStr">
        <is>
          <t>SÖDERKÖPING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29374-2022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44753</v>
      </c>
      <c r="E285" s="1" t="n">
        <v>46223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44861</v>
      </c>
      <c r="E286" s="1" t="n">
        <v>46223</v>
      </c>
      <c r="F286" t="inlineStr">
        <is>
          <t>ÖSTERGÖTLANDS LÄN</t>
        </is>
      </c>
      <c r="G286" t="inlineStr">
        <is>
          <t>SÖDERKÖPING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20967-2023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46223</v>
      </c>
      <c r="F287" t="inlineStr">
        <is>
          <t>ÖSTERGÖTLANDS LÄN</t>
        </is>
      </c>
      <c r="G287" t="inlineStr">
        <is>
          <t>SÖDERKÖPING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8799-2023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44978</v>
      </c>
      <c r="E288" s="1" t="n">
        <v>46223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Allmännings- och besparingsskogar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46223</v>
      </c>
      <c r="F289" t="inlineStr">
        <is>
          <t>ÖSTERGÖTLANDS LÄN</t>
        </is>
      </c>
      <c r="G289" t="inlineStr">
        <is>
          <t>SÖDERKÖPING</t>
        </is>
      </c>
      <c r="I289" t="n">
        <v>18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23518-2026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46223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Allmännings- och besparingsskogar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46223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46223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53889-2021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44469</v>
      </c>
      <c r="E293" s="1" t="n">
        <v>46223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25790-2023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45090</v>
      </c>
      <c r="E294" s="1" t="n">
        <v>46223</v>
      </c>
      <c r="F294" t="inlineStr">
        <is>
          <t>ÖSTERGÖTLANDS LÄN</t>
        </is>
      </c>
      <c r="G294" t="inlineStr">
        <is>
          <t>SÖDERKÖPING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50870-2023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46223</v>
      </c>
      <c r="F295" t="inlineStr">
        <is>
          <t>ÖSTERGÖTLANDS LÄN</t>
        </is>
      </c>
      <c r="G295" t="inlineStr">
        <is>
          <t>SÖDERKÖPING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57349-2023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46223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46223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46223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46223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31313-2024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45504</v>
      </c>
      <c r="E300" s="1" t="n">
        <v>46223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20776-2023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46223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61802-2022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46223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46223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40351-2023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46223</v>
      </c>
      <c r="F304" t="inlineStr">
        <is>
          <t>ÖSTERGÖTLANDS LÄN</t>
        </is>
      </c>
      <c r="G304" t="inlineStr">
        <is>
          <t>SÖDERKÖPING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40356-2023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46223</v>
      </c>
      <c r="F305" t="inlineStr">
        <is>
          <t>ÖSTERGÖTLANDS LÄN</t>
        </is>
      </c>
      <c r="G305" t="inlineStr">
        <is>
          <t>SÖDERKÖPING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24726-2026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46223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58223-2022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44901</v>
      </c>
      <c r="E307" s="1" t="n">
        <v>46223</v>
      </c>
      <c r="F307" t="inlineStr">
        <is>
          <t>ÖSTERGÖTLANDS LÄN</t>
        </is>
      </c>
      <c r="G307" t="inlineStr">
        <is>
          <t>SÖDERKÖPING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46223</v>
      </c>
      <c r="F308" t="inlineStr">
        <is>
          <t>ÖSTERGÖTLANDS LÄN</t>
        </is>
      </c>
      <c r="G308" t="inlineStr">
        <is>
          <t>SÖDERKÖPING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46223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Allmännings- och besparingsskogar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46223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45295</v>
      </c>
      <c r="E311" s="1" t="n">
        <v>46223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16286-2023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46223</v>
      </c>
      <c r="F312" t="inlineStr">
        <is>
          <t>ÖSTERGÖTLANDS LÄN</t>
        </is>
      </c>
      <c r="G312" t="inlineStr">
        <is>
          <t>SÖDERKÖPING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50866-2023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46223</v>
      </c>
      <c r="F313" t="inlineStr">
        <is>
          <t>ÖSTERGÖTLANDS LÄN</t>
        </is>
      </c>
      <c r="G313" t="inlineStr">
        <is>
          <t>SÖDERKÖPING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20251-2023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46223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20253-2023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45055</v>
      </c>
      <c r="E315" s="1" t="n">
        <v>46223</v>
      </c>
      <c r="F315" t="inlineStr">
        <is>
          <t>ÖSTERGÖTLANDS LÄN</t>
        </is>
      </c>
      <c r="G315" t="inlineStr">
        <is>
          <t>SÖDERKÖPING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44819-2023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46223</v>
      </c>
      <c r="F316" t="inlineStr">
        <is>
          <t>ÖSTERGÖTLANDS LÄN</t>
        </is>
      </c>
      <c r="G316" t="inlineStr">
        <is>
          <t>SÖDERKÖPING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45483-2023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46223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44928</v>
      </c>
      <c r="E318" s="1" t="n">
        <v>46223</v>
      </c>
      <c r="F318" t="inlineStr">
        <is>
          <t>ÖSTERGÖTLANDS LÄN</t>
        </is>
      </c>
      <c r="G318" t="inlineStr">
        <is>
          <t>SÖDERKÖPING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34917-2022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44796</v>
      </c>
      <c r="E319" s="1" t="n">
        <v>46223</v>
      </c>
      <c r="F319" t="inlineStr">
        <is>
          <t>ÖSTERGÖTLANDS LÄN</t>
        </is>
      </c>
      <c r="G319" t="inlineStr">
        <is>
          <t>SÖDERKÖPING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24875-2026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46223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61511-2023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46223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44588</v>
      </c>
      <c r="E322" s="1" t="n">
        <v>46223</v>
      </c>
      <c r="F322" t="inlineStr">
        <is>
          <t>ÖSTERGÖTLANDS LÄN</t>
        </is>
      </c>
      <c r="G322" t="inlineStr">
        <is>
          <t>SÖDERKÖPING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46219</v>
      </c>
      <c r="E323" s="1" t="n">
        <v>46223</v>
      </c>
      <c r="F323" t="inlineStr">
        <is>
          <t>ÖSTERGÖTLANDS LÄN</t>
        </is>
      </c>
      <c r="G323" t="inlineStr">
        <is>
          <t>SÖDERKÖPING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49251-2024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45595</v>
      </c>
      <c r="E324" s="1" t="n">
        <v>46223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31351-2026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46219</v>
      </c>
      <c r="E325" s="1" t="n">
        <v>46223</v>
      </c>
      <c r="F325" t="inlineStr">
        <is>
          <t>ÖSTERGÖTLANDS LÄN</t>
        </is>
      </c>
      <c r="G325" t="inlineStr">
        <is>
          <t>SÖDERKÖPING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46223</v>
      </c>
      <c r="F326" t="inlineStr">
        <is>
          <t>ÖSTERGÖTLANDS LÄN</t>
        </is>
      </c>
      <c r="G326" t="inlineStr">
        <is>
          <t>SÖDERKÖPING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63392-2021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46223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11951-2024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46223</v>
      </c>
      <c r="F328" t="inlineStr">
        <is>
          <t>ÖSTERGÖTLANDS LÄN</t>
        </is>
      </c>
      <c r="G328" t="inlineStr">
        <is>
          <t>SÖDERKÖPING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46223</v>
      </c>
      <c r="F329" t="inlineStr">
        <is>
          <t>ÖSTERGÖTLANDS LÄN</t>
        </is>
      </c>
      <c r="G329" t="inlineStr">
        <is>
          <t>SÖDERKÖPING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44174-2023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46223</v>
      </c>
      <c r="F330" t="inlineStr">
        <is>
          <t>ÖSTERGÖTLANDS LÄN</t>
        </is>
      </c>
      <c r="G330" t="inlineStr">
        <is>
          <t>SÖDERKÖPING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46223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48555-2023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45208</v>
      </c>
      <c r="E332" s="1" t="n">
        <v>46223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45687</v>
      </c>
      <c r="E333" s="1" t="n">
        <v>46223</v>
      </c>
      <c r="F333" t="inlineStr">
        <is>
          <t>ÖSTERGÖTLANDS LÄN</t>
        </is>
      </c>
      <c r="G333" t="inlineStr">
        <is>
          <t>SÖDERKÖPING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46223</v>
      </c>
      <c r="F334" t="inlineStr">
        <is>
          <t>ÖSTERGÖTLANDS LÄN</t>
        </is>
      </c>
      <c r="G334" t="inlineStr">
        <is>
          <t>SÖDERKÖPING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46223</v>
      </c>
      <c r="F335" t="inlineStr">
        <is>
          <t>ÖSTERGÖTLANDS LÄN</t>
        </is>
      </c>
      <c r="G335" t="inlineStr">
        <is>
          <t>SÖDERKÖPING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46223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46223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46223</v>
      </c>
      <c r="F338" t="inlineStr">
        <is>
          <t>ÖSTERGÖTLANDS LÄN</t>
        </is>
      </c>
      <c r="G338" t="inlineStr">
        <is>
          <t>SÖDERKÖPING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46223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46223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46223</v>
      </c>
      <c r="F341" t="inlineStr">
        <is>
          <t>ÖSTERGÖTLANDS LÄN</t>
        </is>
      </c>
      <c r="G341" t="inlineStr">
        <is>
          <t>SÖDERKÖPING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46223</v>
      </c>
      <c r="F342" t="inlineStr">
        <is>
          <t>ÖSTERGÖTLANDS LÄN</t>
        </is>
      </c>
      <c r="G342" t="inlineStr">
        <is>
          <t>SÖDERKÖPING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50574-2024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45601</v>
      </c>
      <c r="E343" s="1" t="n">
        <v>46223</v>
      </c>
      <c r="F343" t="inlineStr">
        <is>
          <t>ÖSTERGÖTLANDS LÄN</t>
        </is>
      </c>
      <c r="G343" t="inlineStr">
        <is>
          <t>SÖDERKÖPING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31312-2024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46223</v>
      </c>
      <c r="F344" t="inlineStr">
        <is>
          <t>ÖSTERGÖTLANDS LÄN</t>
        </is>
      </c>
      <c r="G344" t="inlineStr">
        <is>
          <t>SÖDERKÖPING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22918-2025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46223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9729-2023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46223</v>
      </c>
      <c r="F346" t="inlineStr">
        <is>
          <t>ÖSTERGÖTLANDS LÄN</t>
        </is>
      </c>
      <c r="G346" t="inlineStr">
        <is>
          <t>SÖDERKÖPING</t>
        </is>
      </c>
      <c r="I346" t="n">
        <v>13.8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31315-2024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46223</v>
      </c>
      <c r="F347" t="inlineStr">
        <is>
          <t>ÖSTERGÖTLANDS LÄN</t>
        </is>
      </c>
      <c r="G347" t="inlineStr">
        <is>
          <t>SÖDERKÖPING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46223</v>
      </c>
      <c r="F348" t="inlineStr">
        <is>
          <t>ÖSTERGÖTLANDS LÄN</t>
        </is>
      </c>
      <c r="G348" t="inlineStr">
        <is>
          <t>SÖDERKÖPING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46223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46223</v>
      </c>
      <c r="F350" t="inlineStr">
        <is>
          <t>ÖSTERGÖTLANDS LÄN</t>
        </is>
      </c>
      <c r="G350" t="inlineStr">
        <is>
          <t>SÖDERKÖPING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46223</v>
      </c>
      <c r="F351" t="inlineStr">
        <is>
          <t>ÖSTERGÖTLANDS LÄN</t>
        </is>
      </c>
      <c r="G351" t="inlineStr">
        <is>
          <t>SÖDERKÖPING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46223</v>
      </c>
      <c r="F352" t="inlineStr">
        <is>
          <t>ÖSTERGÖTLANDS LÄN</t>
        </is>
      </c>
      <c r="G352" t="inlineStr">
        <is>
          <t>SÖDERKÖPING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46223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4766-2024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45610</v>
      </c>
      <c r="E354" s="1" t="n">
        <v>46223</v>
      </c>
      <c r="F354" t="inlineStr">
        <is>
          <t>ÖSTERGÖTLANDS LÄN</t>
        </is>
      </c>
      <c r="G354" t="inlineStr">
        <is>
          <t>SÖDERKÖPING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3958-2024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45567</v>
      </c>
      <c r="E355" s="1" t="n">
        <v>46223</v>
      </c>
      <c r="F355" t="inlineStr">
        <is>
          <t>ÖSTERGÖTLANDS LÄN</t>
        </is>
      </c>
      <c r="G355" t="inlineStr">
        <is>
          <t>SÖDERKÖPING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4052-2023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45246</v>
      </c>
      <c r="E356" s="1" t="n">
        <v>46223</v>
      </c>
      <c r="F356" t="inlineStr">
        <is>
          <t>ÖSTERGÖTLANDS LÄN</t>
        </is>
      </c>
      <c r="G356" t="inlineStr">
        <is>
          <t>SÖDERKÖPING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45426</v>
      </c>
      <c r="E357" s="1" t="n">
        <v>46223</v>
      </c>
      <c r="F357" t="inlineStr">
        <is>
          <t>ÖSTERGÖTLANDS LÄN</t>
        </is>
      </c>
      <c r="G357" t="inlineStr">
        <is>
          <t>SÖDERKÖPING</t>
        </is>
      </c>
      <c r="I357" t="n">
        <v>29.3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3312-2023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45195</v>
      </c>
      <c r="E358" s="1" t="n">
        <v>46223</v>
      </c>
      <c r="F358" t="inlineStr">
        <is>
          <t>ÖSTERGÖTLANDS LÄN</t>
        </is>
      </c>
      <c r="G358" t="inlineStr">
        <is>
          <t>SÖDERKÖPING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>
      <c r="A359" t="inlineStr">
        <is>
          <t>S 1540-2026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46168</v>
      </c>
      <c r="E359" s="1" t="n">
        <v>46223</v>
      </c>
      <c r="F359" t="inlineStr">
        <is>
          <t>ÖSTERGÖTLANDS LÄN</t>
        </is>
      </c>
      <c r="G359" t="inlineStr">
        <is>
          <t>SÖDERKÖPING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2026-07-20T01:50:08Z</dcterms:created>
  <dcterms:modified xmlns:dcterms="http://purl.org/dc/terms/" xmlns:xsi="http://www.w3.org/2001/XMLSchema-instance" xsi:type="dcterms:W3CDTF">2026-07-20T01:50:08Z</dcterms:modified>
</cp:coreProperties>
</file>