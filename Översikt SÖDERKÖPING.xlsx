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46319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46319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46319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46319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46319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46319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46319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46319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46319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46319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46319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46319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46319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21648-2023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45063</v>
      </c>
      <c r="E22" s="1" t="n">
        <v>46319</v>
      </c>
      <c r="F22" t="inlineStr">
        <is>
          <t>ÖSTERGÖTLANDS LÄN</t>
        </is>
      </c>
      <c r="G22" t="inlineStr">
        <is>
          <t>SÖDERKÖPING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Hasselsnok
Kopparödla</t>
        </is>
      </c>
      <c r="W22">
        <f>HYPERLINK("https://klasma.github.io/Logging_0582/artfynd/A 21648-2023 artfynd.xlsx", "A 21648-2023")</f>
        <v/>
      </c>
      <c r="X22">
        <f>HYPERLINK("https://klasma.github.io/Logging_0582/kartor/A 21648-2023 karta.png", "A 21648-2023")</f>
        <v/>
      </c>
      <c r="Y22">
        <f>HYPERLINK("https://klasma.github.io/Logging_0582/kartor_geotiff/A 21648-2023 georefererad karta.tif", "A 21648-2023")</f>
        <v/>
      </c>
      <c r="AA22">
        <f>HYPERLINK("https://klasma.github.io/Logging_0582/klagomål/A 21648-2023 FSC-klagomål.docx", "A 21648-2023")</f>
        <v/>
      </c>
      <c r="AB22">
        <f>HYPERLINK("https://klasma.github.io/Logging_0582/klagomålsmail/A 21648-2023 FSC-klagomål mail.docx", "A 21648-2023")</f>
        <v/>
      </c>
      <c r="AC22">
        <f>HYPERLINK("https://klasma.github.io/Logging_0582/tillsyn/A 21648-2023 tillsynsbegäran.docx", "A 21648-2023")</f>
        <v/>
      </c>
      <c r="AD22">
        <f>HYPERLINK("https://klasma.github.io/Logging_0582/tillsynsmail/A 21648-2023 tillsynsbegäran mail.docx", "A 21648-2023")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46319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46319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50708-2024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45601</v>
      </c>
      <c r="E26" s="1" t="n">
        <v>46319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HYPERLINK("https://klasma.github.io/Logging_0582/artfynd/A 50708-2024 artfynd.xlsx", "A 50708-2024")</f>
        <v/>
      </c>
      <c r="X26">
        <f>HYPERLINK("https://klasma.github.io/Logging_0582/kartor/A 50708-2024 karta.png", "A 50708-2024")</f>
        <v/>
      </c>
      <c r="Y26">
        <f>HYPERLINK("https://klasma.github.io/Logging_0582/kartor_geotiff/A 50708-2024 georefererad karta.tif", "A 50708-2024")</f>
        <v/>
      </c>
      <c r="AA26">
        <f>HYPERLINK("https://klasma.github.io/Logging_0582/klagomål/A 50708-2024 FSC-klagomål.docx", "A 50708-2024")</f>
        <v/>
      </c>
      <c r="AB26">
        <f>HYPERLINK("https://klasma.github.io/Logging_0582/klagomålsmail/A 50708-2024 FSC-klagomål mail.docx", "A 50708-2024")</f>
        <v/>
      </c>
      <c r="AC26">
        <f>HYPERLINK("https://klasma.github.io/Logging_0582/tillsyn/A 50708-2024 tillsynsbegäran.docx", "A 50708-2024")</f>
        <v/>
      </c>
      <c r="AD26">
        <f>HYPERLINK("https://klasma.github.io/Logging_0582/tillsynsmail/A 50708-2024 tillsynsbegäran mail.docx", "A 50708-2024")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46319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46319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38709-2026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46319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Allmännings- och besparingsskogar</t>
        </is>
      </c>
      <c r="I29" t="n">
        <v>9.5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HYPERLINK("https://klasma.github.io/Logging_0582/artfynd/A 38709-2026 artfynd.xlsx", "A 38709-2026")</f>
        <v/>
      </c>
      <c r="X29">
        <f>HYPERLINK("https://klasma.github.io/Logging_0582/kartor/A 38709-2026 karta.png", "A 38709-2026")</f>
        <v/>
      </c>
      <c r="Y29">
        <f>HYPERLINK("https://klasma.github.io/Logging_0582/kartor_geotiff/A 38709-2026 georefererad karta.tif", "A 38709-2026")</f>
        <v/>
      </c>
      <c r="AA29">
        <f>HYPERLINK("https://klasma.github.io/Logging_0582/klagomål/A 38709-2026 FSC-klagomål.docx", "A 38709-2026")</f>
        <v/>
      </c>
      <c r="AB29">
        <f>HYPERLINK("https://klasma.github.io/Logging_0582/klagomålsmail/A 38709-2026 FSC-klagomål mail.docx", "A 38709-2026")</f>
        <v/>
      </c>
      <c r="AC29">
        <f>HYPERLINK("https://klasma.github.io/Logging_0582/tillsyn/A 38709-2026 tillsynsbegäran.docx", "A 38709-2026")</f>
        <v/>
      </c>
      <c r="AD29">
        <f>HYPERLINK("https://klasma.github.io/Logging_0582/tillsynsmail/A 38709-2026 tillsynsbegäran mail.docx", "A 38709-2026")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46319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354-2024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45295</v>
      </c>
      <c r="E31" s="1" t="n">
        <v>46319</v>
      </c>
      <c r="F31" t="inlineStr">
        <is>
          <t>ÖSTERGÖTLANDS LÄN</t>
        </is>
      </c>
      <c r="G31" t="inlineStr">
        <is>
          <t>SÖDERKÖPING</t>
        </is>
      </c>
      <c r="I31" t="n">
        <v>10.2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Rödlånke</t>
        </is>
      </c>
      <c r="W31">
        <f>HYPERLINK("https://klasma.github.io/Logging_0582/artfynd/A 354-2024 artfynd.xlsx", "A 354-2024")</f>
        <v/>
      </c>
      <c r="X31">
        <f>HYPERLINK("https://klasma.github.io/Logging_0582/kartor/A 354-2024 karta.png", "A 354-2024")</f>
        <v/>
      </c>
      <c r="Y31">
        <f>HYPERLINK("https://klasma.github.io/Logging_0582/kartor_geotiff/A 354-2024 georefererad karta.tif", "A 354-2024")</f>
        <v/>
      </c>
      <c r="AA31">
        <f>HYPERLINK("https://klasma.github.io/Logging_0582/klagomål/A 354-2024 FSC-klagomål.docx", "A 354-2024")</f>
        <v/>
      </c>
      <c r="AB31">
        <f>HYPERLINK("https://klasma.github.io/Logging_0582/klagomålsmail/A 354-2024 FSC-klagomål mail.docx", "A 354-2024")</f>
        <v/>
      </c>
      <c r="AC31">
        <f>HYPERLINK("https://klasma.github.io/Logging_0582/tillsyn/A 354-2024 tillsynsbegäran.docx", "A 354-2024")</f>
        <v/>
      </c>
      <c r="AD31">
        <f>HYPERLINK("https://klasma.github.io/Logging_0582/tillsynsmail/A 354-2024 tillsynsbegäran mail.docx", "A 354-2024")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46319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A 8156-2023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46319</v>
      </c>
      <c r="F33" t="inlineStr">
        <is>
          <t>ÖSTERGÖTLANDS LÄN</t>
        </is>
      </c>
      <c r="G33" t="inlineStr">
        <is>
          <t>SÖDERKÖPING</t>
        </is>
      </c>
      <c r="I33" t="n">
        <v>0.7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Hasselsnok</t>
        </is>
      </c>
      <c r="W33">
        <f>HYPERLINK("https://klasma.github.io/Logging_0582/artfynd/A 8156-2023 artfynd.xlsx", "A 8156-2023")</f>
        <v/>
      </c>
      <c r="X33">
        <f>HYPERLINK("https://klasma.github.io/Logging_0582/kartor/A 8156-2023 karta.png", "A 8156-2023")</f>
        <v/>
      </c>
      <c r="Y33">
        <f>HYPERLINK("https://klasma.github.io/Logging_0582/kartor_geotiff/A 8156-2023 georefererad karta.tif", "A 8156-2023")</f>
        <v/>
      </c>
      <c r="AA33">
        <f>HYPERLINK("https://klasma.github.io/Logging_0582/klagomål/A 8156-2023 FSC-klagomål.docx", "A 8156-2023")</f>
        <v/>
      </c>
      <c r="AB33">
        <f>HYPERLINK("https://klasma.github.io/Logging_0582/klagomålsmail/A 8156-2023 FSC-klagomål mail.docx", "A 8156-2023")</f>
        <v/>
      </c>
      <c r="AC33">
        <f>HYPERLINK("https://klasma.github.io/Logging_0582/tillsyn/A 8156-2023 tillsynsbegäran.docx", "A 8156-2023")</f>
        <v/>
      </c>
      <c r="AD33">
        <f>HYPERLINK("https://klasma.github.io/Logging_0582/tillsynsmail/A 8156-2023 tillsynsbegäran mail.docx", "A 8156-2023")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46319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46319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46319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46319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46319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46319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46319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46319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46319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46319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46319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46319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46319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46319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46319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46319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46319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46319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46319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46319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46319</v>
      </c>
      <c r="F54" t="inlineStr">
        <is>
          <t>ÖSTERGÖTLANDS LÄN</t>
        </is>
      </c>
      <c r="G54" t="inlineStr">
        <is>
          <t>SÖDERKÖPING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44540</v>
      </c>
      <c r="E55" s="1" t="n">
        <v>46319</v>
      </c>
      <c r="F55" t="inlineStr">
        <is>
          <t>ÖSTERGÖTLANDS LÄN</t>
        </is>
      </c>
      <c r="G55" t="inlineStr">
        <is>
          <t>SÖDERKÖPING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46319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44890</v>
      </c>
      <c r="E57" s="1" t="n">
        <v>46319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46319</v>
      </c>
      <c r="F58" t="inlineStr">
        <is>
          <t>ÖSTERGÖTLANDS LÄN</t>
        </is>
      </c>
      <c r="G58" t="inlineStr">
        <is>
          <t>SÖDERKÖPING</t>
        </is>
      </c>
      <c r="H58" t="inlineStr">
        <is>
          <t>Holmen skog AB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50050-2023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45215</v>
      </c>
      <c r="E59" s="1" t="n">
        <v>46319</v>
      </c>
      <c r="F59" t="inlineStr">
        <is>
          <t>ÖSTERGÖTLANDS LÄN</t>
        </is>
      </c>
      <c r="G59" t="inlineStr">
        <is>
          <t>SÖDERKÖPING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46319</v>
      </c>
      <c r="F60" t="inlineStr">
        <is>
          <t>ÖSTERGÖTLANDS LÄN</t>
        </is>
      </c>
      <c r="G60" t="inlineStr">
        <is>
          <t>SÖDERKÖPING</t>
        </is>
      </c>
      <c r="I60" t="n">
        <v>26.6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46319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Allmännings- och besparingsskogar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46319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46319</v>
      </c>
      <c r="F63" t="inlineStr">
        <is>
          <t>ÖSTERGÖTLANDS LÄN</t>
        </is>
      </c>
      <c r="G63" t="inlineStr">
        <is>
          <t>SÖDERKÖPING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46319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38533-2025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46319</v>
      </c>
      <c r="F65" t="inlineStr">
        <is>
          <t>ÖSTERGÖTLANDS LÄN</t>
        </is>
      </c>
      <c r="G65" t="inlineStr">
        <is>
          <t>SÖDERKÖPING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23120-2026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46319</v>
      </c>
      <c r="F66" t="inlineStr">
        <is>
          <t>ÖSTERGÖTLANDS LÄN</t>
        </is>
      </c>
      <c r="G66" t="inlineStr">
        <is>
          <t>SÖDERKÖPING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46319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Allmännings- och besparingsskogar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46319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Allmännings- och besparingsskogar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46319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45922</v>
      </c>
      <c r="E70" s="1" t="n">
        <v>46319</v>
      </c>
      <c r="F70" t="inlineStr">
        <is>
          <t>ÖSTERGÖTLANDS LÄN</t>
        </is>
      </c>
      <c r="G70" t="inlineStr">
        <is>
          <t>SÖDERKÖPING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46319</v>
      </c>
      <c r="F71" t="inlineStr">
        <is>
          <t>ÖSTERGÖTLANDS LÄN</t>
        </is>
      </c>
      <c r="G71" t="inlineStr">
        <is>
          <t>SÖDERKÖPING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46319</v>
      </c>
      <c r="F72" t="inlineStr">
        <is>
          <t>ÖSTERGÖTLANDS LÄN</t>
        </is>
      </c>
      <c r="G72" t="inlineStr">
        <is>
          <t>SÖDERKÖPING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46319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46319</v>
      </c>
      <c r="F74" t="inlineStr">
        <is>
          <t>ÖSTERGÖTLANDS LÄN</t>
        </is>
      </c>
      <c r="G74" t="inlineStr">
        <is>
          <t>SÖDERKÖPING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46319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46319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46319</v>
      </c>
      <c r="F77" t="inlineStr">
        <is>
          <t>ÖSTERGÖTLANDS LÄN</t>
        </is>
      </c>
      <c r="G77" t="inlineStr">
        <is>
          <t>SÖDERKÖPING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46319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46171</v>
      </c>
      <c r="E79" s="1" t="n">
        <v>46319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Holmen skog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25790-2023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46319</v>
      </c>
      <c r="F80" t="inlineStr">
        <is>
          <t>ÖSTERGÖTLANDS LÄN</t>
        </is>
      </c>
      <c r="G80" t="inlineStr">
        <is>
          <t>SÖDERKÖPING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46319</v>
      </c>
      <c r="F81" t="inlineStr">
        <is>
          <t>ÖSTERGÖTLANDS LÄN</t>
        </is>
      </c>
      <c r="G81" t="inlineStr">
        <is>
          <t>SÖDERKÖPING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46319</v>
      </c>
      <c r="F82" t="inlineStr">
        <is>
          <t>ÖSTERGÖTLANDS LÄN</t>
        </is>
      </c>
      <c r="G82" t="inlineStr">
        <is>
          <t>SÖDERKÖPING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46319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46319</v>
      </c>
      <c r="F84" t="inlineStr">
        <is>
          <t>ÖSTERGÖTLANDS LÄN</t>
        </is>
      </c>
      <c r="G84" t="inlineStr">
        <is>
          <t>SÖDERKÖPING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46319</v>
      </c>
      <c r="F85" t="inlineStr">
        <is>
          <t>ÖSTERGÖTLANDS LÄN</t>
        </is>
      </c>
      <c r="G85" t="inlineStr">
        <is>
          <t>SÖDERKÖPING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46319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46319</v>
      </c>
      <c r="F87" t="inlineStr">
        <is>
          <t>ÖSTERGÖTLANDS LÄN</t>
        </is>
      </c>
      <c r="G87" t="inlineStr">
        <is>
          <t>SÖDERKÖPING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46319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46319</v>
      </c>
      <c r="F89" t="inlineStr">
        <is>
          <t>ÖSTERGÖTLANDS LÄN</t>
        </is>
      </c>
      <c r="G89" t="inlineStr">
        <is>
          <t>SÖDERKÖPING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44805</v>
      </c>
      <c r="E90" s="1" t="n">
        <v>46319</v>
      </c>
      <c r="F90" t="inlineStr">
        <is>
          <t>ÖSTERGÖTLANDS LÄN</t>
        </is>
      </c>
      <c r="G90" t="inlineStr">
        <is>
          <t>SÖDERKÖPING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31313-2024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45504</v>
      </c>
      <c r="E91" s="1" t="n">
        <v>46319</v>
      </c>
      <c r="F91" t="inlineStr">
        <is>
          <t>ÖSTERGÖTLANDS LÄN</t>
        </is>
      </c>
      <c r="G91" t="inlineStr">
        <is>
          <t>SÖDERKÖPING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46319</v>
      </c>
      <c r="F92" t="inlineStr">
        <is>
          <t>ÖSTERGÖTLANDS LÄN</t>
        </is>
      </c>
      <c r="G92" t="inlineStr">
        <is>
          <t>SÖDERKÖPING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46319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46319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46319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46319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46319</v>
      </c>
      <c r="F97" t="inlineStr">
        <is>
          <t>ÖSTERGÖTLANDS LÄN</t>
        </is>
      </c>
      <c r="G97" t="inlineStr">
        <is>
          <t>SÖDERKÖPING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46319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46319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46183</v>
      </c>
      <c r="E100" s="1" t="n">
        <v>46319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46319</v>
      </c>
      <c r="F101" t="inlineStr">
        <is>
          <t>ÖSTERGÖTLANDS LÄN</t>
        </is>
      </c>
      <c r="G101" t="inlineStr">
        <is>
          <t>SÖDERKÖPING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46319</v>
      </c>
      <c r="F102" t="inlineStr">
        <is>
          <t>ÖSTERGÖTLANDS LÄN</t>
        </is>
      </c>
      <c r="G102" t="inlineStr">
        <is>
          <t>SÖDERKÖPING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46319</v>
      </c>
      <c r="F103" t="inlineStr">
        <is>
          <t>ÖSTERGÖTLANDS LÄN</t>
        </is>
      </c>
      <c r="G103" t="inlineStr">
        <is>
          <t>SÖDERKÖPING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46319</v>
      </c>
      <c r="F104" t="inlineStr">
        <is>
          <t>ÖSTERGÖTLANDS LÄN</t>
        </is>
      </c>
      <c r="G104" t="inlineStr">
        <is>
          <t>SÖDERKÖPING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26439-2026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46183</v>
      </c>
      <c r="E105" s="1" t="n">
        <v>46319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46319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Allmännings- och besparingsskogar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46319</v>
      </c>
      <c r="F107" t="inlineStr">
        <is>
          <t>ÖSTERGÖTLANDS LÄN</t>
        </is>
      </c>
      <c r="G107" t="inlineStr">
        <is>
          <t>SÖDERKÖPING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45295</v>
      </c>
      <c r="E108" s="1" t="n">
        <v>46319</v>
      </c>
      <c r="F108" t="inlineStr">
        <is>
          <t>ÖSTERGÖTLANDS LÄN</t>
        </is>
      </c>
      <c r="G108" t="inlineStr">
        <is>
          <t>SÖDERKÖPING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46319</v>
      </c>
      <c r="F109" t="inlineStr">
        <is>
          <t>ÖSTERGÖTLANDS LÄN</t>
        </is>
      </c>
      <c r="G109" t="inlineStr">
        <is>
          <t>SÖDERKÖPING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46319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46319</v>
      </c>
      <c r="F111" t="inlineStr">
        <is>
          <t>ÖSTERGÖTLANDS LÄN</t>
        </is>
      </c>
      <c r="G111" t="inlineStr">
        <is>
          <t>SÖDERKÖPING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45055</v>
      </c>
      <c r="E112" s="1" t="n">
        <v>46319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46319</v>
      </c>
      <c r="F113" t="inlineStr">
        <is>
          <t>ÖSTERGÖTLANDS LÄN</t>
        </is>
      </c>
      <c r="G113" t="inlineStr">
        <is>
          <t>SÖDERKÖPING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46319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46319</v>
      </c>
      <c r="F115" t="inlineStr">
        <is>
          <t>ÖSTERGÖTLANDS LÄN</t>
        </is>
      </c>
      <c r="G115" t="inlineStr">
        <is>
          <t>SÖDERKÖPING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46155</v>
      </c>
      <c r="E116" s="1" t="n">
        <v>46319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46319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46319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46319</v>
      </c>
      <c r="F119" t="inlineStr">
        <is>
          <t>ÖSTERGÖTLANDS LÄN</t>
        </is>
      </c>
      <c r="G119" t="inlineStr">
        <is>
          <t>SÖDERKÖPING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46319</v>
      </c>
      <c r="F120" t="inlineStr">
        <is>
          <t>ÖSTERGÖTLANDS LÄN</t>
        </is>
      </c>
      <c r="G120" t="inlineStr">
        <is>
          <t>SÖDERKÖPING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46196</v>
      </c>
      <c r="E121" s="1" t="n">
        <v>46319</v>
      </c>
      <c r="F121" t="inlineStr">
        <is>
          <t>ÖSTERGÖTLANDS LÄN</t>
        </is>
      </c>
      <c r="G121" t="inlineStr">
        <is>
          <t>SÖDERKÖPING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46319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46319</v>
      </c>
      <c r="F123" t="inlineStr">
        <is>
          <t>ÖSTERGÖTLANDS LÄN</t>
        </is>
      </c>
      <c r="G123" t="inlineStr">
        <is>
          <t>SÖDERKÖPING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46319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63392-2021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46319</v>
      </c>
      <c r="F125" t="inlineStr">
        <is>
          <t>ÖSTERGÖTLANDS LÄN</t>
        </is>
      </c>
      <c r="G125" t="inlineStr">
        <is>
          <t>SÖDERKÖPING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46319</v>
      </c>
      <c r="F126" t="inlineStr">
        <is>
          <t>ÖSTERGÖTLANDS LÄN</t>
        </is>
      </c>
      <c r="G126" t="inlineStr">
        <is>
          <t>SÖDERKÖPING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46319</v>
      </c>
      <c r="F127" t="inlineStr">
        <is>
          <t>ÖSTERGÖTLANDS LÄN</t>
        </is>
      </c>
      <c r="G127" t="inlineStr">
        <is>
          <t>SÖDERKÖPING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45188</v>
      </c>
      <c r="E128" s="1" t="n">
        <v>46319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46319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46319</v>
      </c>
      <c r="F130" t="inlineStr">
        <is>
          <t>ÖSTERGÖTLANDS LÄN</t>
        </is>
      </c>
      <c r="G130" t="inlineStr">
        <is>
          <t>SÖDERKÖPING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46319</v>
      </c>
      <c r="F131" t="inlineStr">
        <is>
          <t>ÖSTERGÖTLANDS LÄN</t>
        </is>
      </c>
      <c r="G131" t="inlineStr">
        <is>
          <t>SÖDERKÖPING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45489</v>
      </c>
      <c r="E132" s="1" t="n">
        <v>46319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46319</v>
      </c>
      <c r="F133" t="inlineStr">
        <is>
          <t>ÖSTERGÖTLANDS LÄN</t>
        </is>
      </c>
      <c r="G133" t="inlineStr">
        <is>
          <t>SÖDERKÖPING</t>
        </is>
      </c>
      <c r="I133" t="n">
        <v>18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46319</v>
      </c>
      <c r="F134" t="inlineStr">
        <is>
          <t>ÖSTERGÖTLANDS LÄN</t>
        </is>
      </c>
      <c r="G134" t="inlineStr">
        <is>
          <t>SÖDERKÖPING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46319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Allmännings- och besparingsskogar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46319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Allmännings- och besparingsskogar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46319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31351-2026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46219</v>
      </c>
      <c r="E138" s="1" t="n">
        <v>46319</v>
      </c>
      <c r="F138" t="inlineStr">
        <is>
          <t>ÖSTERGÖTLANDS LÄN</t>
        </is>
      </c>
      <c r="G138" t="inlineStr">
        <is>
          <t>SÖDERKÖPING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46219</v>
      </c>
      <c r="E139" s="1" t="n">
        <v>46319</v>
      </c>
      <c r="F139" t="inlineStr">
        <is>
          <t>ÖSTERGÖTLANDS LÄN</t>
        </is>
      </c>
      <c r="G139" t="inlineStr">
        <is>
          <t>SÖDERKÖPING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46319</v>
      </c>
      <c r="F140" t="inlineStr">
        <is>
          <t>ÖSTERGÖTLANDS LÄN</t>
        </is>
      </c>
      <c r="G140" t="inlineStr">
        <is>
          <t>SÖDERKÖPING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46319</v>
      </c>
      <c r="F141" t="inlineStr">
        <is>
          <t>ÖSTERGÖTLANDS LÄN</t>
        </is>
      </c>
      <c r="G141" t="inlineStr">
        <is>
          <t>SÖDERKÖPING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46319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46319</v>
      </c>
      <c r="F143" t="inlineStr">
        <is>
          <t>ÖSTERGÖTLANDS LÄN</t>
        </is>
      </c>
      <c r="G143" t="inlineStr">
        <is>
          <t>SÖDERKÖPING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46227</v>
      </c>
      <c r="E144" s="1" t="n">
        <v>46319</v>
      </c>
      <c r="F144" t="inlineStr">
        <is>
          <t>ÖSTERGÖTLANDS LÄN</t>
        </is>
      </c>
      <c r="G144" t="inlineStr">
        <is>
          <t>SÖDERKÖPING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46227</v>
      </c>
      <c r="E145" s="1" t="n">
        <v>46319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46319</v>
      </c>
      <c r="F146" t="inlineStr">
        <is>
          <t>ÖSTERGÖTLANDS LÄN</t>
        </is>
      </c>
      <c r="G146" t="inlineStr">
        <is>
          <t>SÖDERKÖPING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46319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46319</v>
      </c>
      <c r="F148" t="inlineStr">
        <is>
          <t>ÖSTERGÖTLANDS LÄN</t>
        </is>
      </c>
      <c r="G148" t="inlineStr">
        <is>
          <t>SÖDERKÖPING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46319</v>
      </c>
      <c r="F149" t="inlineStr">
        <is>
          <t>ÖSTERGÖTLANDS LÄN</t>
        </is>
      </c>
      <c r="G149" t="inlineStr">
        <is>
          <t>SÖDERKÖPING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46319</v>
      </c>
      <c r="F150" t="inlineStr">
        <is>
          <t>ÖSTERGÖTLANDS LÄN</t>
        </is>
      </c>
      <c r="G150" t="inlineStr">
        <is>
          <t>SÖDERKÖPING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46319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45504</v>
      </c>
      <c r="E152" s="1" t="n">
        <v>46319</v>
      </c>
      <c r="F152" t="inlineStr">
        <is>
          <t>ÖSTERGÖTLANDS LÄN</t>
        </is>
      </c>
      <c r="G152" t="inlineStr">
        <is>
          <t>SÖDERKÖPING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45504</v>
      </c>
      <c r="E153" s="1" t="n">
        <v>46319</v>
      </c>
      <c r="F153" t="inlineStr">
        <is>
          <t>ÖSTERGÖTLANDS LÄN</t>
        </is>
      </c>
      <c r="G153" t="inlineStr">
        <is>
          <t>SÖDERKÖPING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46319</v>
      </c>
      <c r="F154" t="inlineStr">
        <is>
          <t>ÖSTERGÖTLANDS LÄN</t>
        </is>
      </c>
      <c r="G154" t="inlineStr">
        <is>
          <t>SÖDERKÖPING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45692</v>
      </c>
      <c r="E155" s="1" t="n">
        <v>46319</v>
      </c>
      <c r="F155" t="inlineStr">
        <is>
          <t>ÖSTERGÖTLANDS LÄN</t>
        </is>
      </c>
      <c r="G155" t="inlineStr">
        <is>
          <t>SÖDERKÖPING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46319</v>
      </c>
      <c r="F156" t="inlineStr">
        <is>
          <t>ÖSTERGÖTLANDS LÄN</t>
        </is>
      </c>
      <c r="G156" t="inlineStr">
        <is>
          <t>SÖDERKÖPING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45184</v>
      </c>
      <c r="E157" s="1" t="n">
        <v>46319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46319</v>
      </c>
      <c r="F158" t="inlineStr">
        <is>
          <t>ÖSTERGÖTLANDS LÄN</t>
        </is>
      </c>
      <c r="G158" t="inlineStr">
        <is>
          <t>SÖDERKÖPING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46319</v>
      </c>
      <c r="F159" t="inlineStr">
        <is>
          <t>ÖSTERGÖTLANDS LÄN</t>
        </is>
      </c>
      <c r="G159" t="inlineStr">
        <is>
          <t>SÖDERKÖPING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46319</v>
      </c>
      <c r="F160" t="inlineStr">
        <is>
          <t>ÖSTERGÖTLANDS LÄN</t>
        </is>
      </c>
      <c r="G160" t="inlineStr">
        <is>
          <t>SÖDERKÖPING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46319</v>
      </c>
      <c r="F161" t="inlineStr">
        <is>
          <t>ÖSTERGÖTLANDS LÄN</t>
        </is>
      </c>
      <c r="G161" t="inlineStr">
        <is>
          <t>SÖDERKÖPING</t>
        </is>
      </c>
      <c r="I161" t="n">
        <v>13.8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46319</v>
      </c>
      <c r="F162" t="inlineStr">
        <is>
          <t>ÖSTERGÖTLANDS LÄN</t>
        </is>
      </c>
      <c r="G162" t="inlineStr">
        <is>
          <t>SÖDERKÖPING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46319</v>
      </c>
      <c r="F163" t="inlineStr">
        <is>
          <t>ÖSTERGÖTLANDS LÄN</t>
        </is>
      </c>
      <c r="G163" t="inlineStr">
        <is>
          <t>SÖDERKÖPING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46319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46319</v>
      </c>
      <c r="F165" t="inlineStr">
        <is>
          <t>ÖSTERGÖTLANDS LÄN</t>
        </is>
      </c>
      <c r="G165" t="inlineStr">
        <is>
          <t>SÖDERKÖPING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45257</v>
      </c>
      <c r="E166" s="1" t="n">
        <v>46319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46319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46319</v>
      </c>
      <c r="F168" t="inlineStr">
        <is>
          <t>ÖSTERGÖTLANDS LÄN</t>
        </is>
      </c>
      <c r="G168" t="inlineStr">
        <is>
          <t>SÖDERKÖPING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46319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Kyrkan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46319</v>
      </c>
      <c r="F170" t="inlineStr">
        <is>
          <t>ÖSTERGÖTLANDS LÄN</t>
        </is>
      </c>
      <c r="G170" t="inlineStr">
        <is>
          <t>SÖDERKÖPING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46319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46319</v>
      </c>
      <c r="F172" t="inlineStr">
        <is>
          <t>ÖSTERGÖTLANDS LÄN</t>
        </is>
      </c>
      <c r="G172" t="inlineStr">
        <is>
          <t>SÖDERKÖPING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46319</v>
      </c>
      <c r="F173" t="inlineStr">
        <is>
          <t>ÖSTERGÖTLANDS LÄN</t>
        </is>
      </c>
      <c r="G173" t="inlineStr">
        <is>
          <t>SÖDERKÖPING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46319</v>
      </c>
      <c r="F174" t="inlineStr">
        <is>
          <t>ÖSTERGÖTLANDS LÄN</t>
        </is>
      </c>
      <c r="G174" t="inlineStr">
        <is>
          <t>SÖDERKÖPING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46319</v>
      </c>
      <c r="F175" t="inlineStr">
        <is>
          <t>ÖSTERGÖTLANDS LÄN</t>
        </is>
      </c>
      <c r="G175" t="inlineStr">
        <is>
          <t>SÖDERKÖPING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46319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46248</v>
      </c>
      <c r="E177" s="1" t="n">
        <v>46319</v>
      </c>
      <c r="F177" t="inlineStr">
        <is>
          <t>ÖSTERGÖTLANDS LÄN</t>
        </is>
      </c>
      <c r="G177" t="inlineStr">
        <is>
          <t>SÖDERKÖPING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46319</v>
      </c>
      <c r="F178" t="inlineStr">
        <is>
          <t>ÖSTERGÖTLANDS LÄN</t>
        </is>
      </c>
      <c r="G178" t="inlineStr">
        <is>
          <t>SÖDERKÖPING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46319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46319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46319</v>
      </c>
      <c r="F181" t="inlineStr">
        <is>
          <t>ÖSTERGÖTLANDS LÄN</t>
        </is>
      </c>
      <c r="G181" t="inlineStr">
        <is>
          <t>SÖDERKÖPING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46319</v>
      </c>
      <c r="F182" t="inlineStr">
        <is>
          <t>ÖSTERGÖTLANDS LÄN</t>
        </is>
      </c>
      <c r="G182" t="inlineStr">
        <is>
          <t>SÖDERKÖPING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46061</v>
      </c>
      <c r="E183" s="1" t="n">
        <v>46319</v>
      </c>
      <c r="F183" t="inlineStr">
        <is>
          <t>ÖSTERGÖTLANDS LÄN</t>
        </is>
      </c>
      <c r="G183" t="inlineStr">
        <is>
          <t>SÖDERKÖPING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46319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46319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46319</v>
      </c>
      <c r="F186" t="inlineStr">
        <is>
          <t>ÖSTERGÖTLANDS LÄN</t>
        </is>
      </c>
      <c r="G186" t="inlineStr">
        <is>
          <t>SÖDERKÖPING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46319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46319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46319</v>
      </c>
      <c r="F189" t="inlineStr">
        <is>
          <t>ÖSTERGÖTLANDS LÄN</t>
        </is>
      </c>
      <c r="G189" t="inlineStr">
        <is>
          <t>SÖDERKÖPING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46319</v>
      </c>
      <c r="F190" t="inlineStr">
        <is>
          <t>ÖSTERGÖTLANDS LÄN</t>
        </is>
      </c>
      <c r="G190" t="inlineStr">
        <is>
          <t>SÖDERKÖPING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11005-2026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46079</v>
      </c>
      <c r="E191" s="1" t="n">
        <v>46319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46319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46319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46319</v>
      </c>
      <c r="F194" t="inlineStr">
        <is>
          <t>ÖSTERGÖTLANDS LÄN</t>
        </is>
      </c>
      <c r="G194" t="inlineStr">
        <is>
          <t>SÖDERKÖPING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46319</v>
      </c>
      <c r="F195" t="inlineStr">
        <is>
          <t>ÖSTERGÖTLANDS LÄN</t>
        </is>
      </c>
      <c r="G195" t="inlineStr">
        <is>
          <t>SÖDERKÖPING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46319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46319</v>
      </c>
      <c r="F197" t="inlineStr">
        <is>
          <t>ÖSTERGÖTLANDS LÄN</t>
        </is>
      </c>
      <c r="G197" t="inlineStr">
        <is>
          <t>SÖDERKÖPING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46319</v>
      </c>
      <c r="F198" t="inlineStr">
        <is>
          <t>ÖSTERGÖTLANDS LÄN</t>
        </is>
      </c>
      <c r="G198" t="inlineStr">
        <is>
          <t>SÖDERKÖPING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46319</v>
      </c>
      <c r="F199" t="inlineStr">
        <is>
          <t>ÖSTERGÖTLANDS LÄN</t>
        </is>
      </c>
      <c r="G199" t="inlineStr">
        <is>
          <t>SÖDERKÖPING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46319</v>
      </c>
      <c r="F200" t="inlineStr">
        <is>
          <t>ÖSTERGÖTLANDS LÄN</t>
        </is>
      </c>
      <c r="G200" t="inlineStr">
        <is>
          <t>SÖDERKÖPING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46319</v>
      </c>
      <c r="F201" t="inlineStr">
        <is>
          <t>ÖSTERGÖTLANDS LÄN</t>
        </is>
      </c>
      <c r="G201" t="inlineStr">
        <is>
          <t>SÖDERKÖPING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46319</v>
      </c>
      <c r="F202" t="inlineStr">
        <is>
          <t>ÖSTERGÖTLANDS LÄN</t>
        </is>
      </c>
      <c r="G202" t="inlineStr">
        <is>
          <t>SÖDERKÖPING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46319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45295</v>
      </c>
      <c r="E204" s="1" t="n">
        <v>46319</v>
      </c>
      <c r="F204" t="inlineStr">
        <is>
          <t>ÖSTERGÖTLANDS LÄN</t>
        </is>
      </c>
      <c r="G204" t="inlineStr">
        <is>
          <t>SÖDERKÖPING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46319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46319</v>
      </c>
      <c r="F206" t="inlineStr">
        <is>
          <t>ÖSTERGÖTLANDS LÄN</t>
        </is>
      </c>
      <c r="G206" t="inlineStr">
        <is>
          <t>SÖDERKÖPING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46319</v>
      </c>
      <c r="F207" t="inlineStr">
        <is>
          <t>ÖSTERGÖTLANDS LÄN</t>
        </is>
      </c>
      <c r="G207" t="inlineStr">
        <is>
          <t>SÖDERKÖPING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46319</v>
      </c>
      <c r="F208" t="inlineStr">
        <is>
          <t>ÖSTERGÖTLANDS LÄN</t>
        </is>
      </c>
      <c r="G208" t="inlineStr">
        <is>
          <t>SÖDERKÖPING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46319</v>
      </c>
      <c r="F209" t="inlineStr">
        <is>
          <t>ÖSTERGÖTLANDS LÄN</t>
        </is>
      </c>
      <c r="G209" t="inlineStr">
        <is>
          <t>SÖDERKÖPING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46319</v>
      </c>
      <c r="F210" t="inlineStr">
        <is>
          <t>ÖSTERGÖTLANDS LÄN</t>
        </is>
      </c>
      <c r="G210" t="inlineStr">
        <is>
          <t>SÖDERKÖPING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46319</v>
      </c>
      <c r="F211" t="inlineStr">
        <is>
          <t>ÖSTERGÖTLANDS LÄN</t>
        </is>
      </c>
      <c r="G211" t="inlineStr">
        <is>
          <t>SÖDERKÖPING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46319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46319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46319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57888-2022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46319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46319</v>
      </c>
      <c r="F216" t="inlineStr">
        <is>
          <t>ÖSTERGÖTLANDS LÄN</t>
        </is>
      </c>
      <c r="G216" t="inlineStr">
        <is>
          <t>SÖDERKÖPING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46305</v>
      </c>
      <c r="E217" s="1" t="n">
        <v>46319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46319</v>
      </c>
      <c r="F218" t="inlineStr">
        <is>
          <t>ÖSTERGÖTLANDS LÄN</t>
        </is>
      </c>
      <c r="G218" t="inlineStr">
        <is>
          <t>SÖDERKÖPING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46319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46319</v>
      </c>
      <c r="F220" t="inlineStr">
        <is>
          <t>ÖSTERGÖTLANDS LÄN</t>
        </is>
      </c>
      <c r="G220" t="inlineStr">
        <is>
          <t>SÖDERKÖPING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46319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46319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46319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46319</v>
      </c>
      <c r="F224" t="inlineStr">
        <is>
          <t>ÖSTERGÖTLANDS LÄN</t>
        </is>
      </c>
      <c r="G224" t="inlineStr">
        <is>
          <t>SÖDERKÖPING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46319</v>
      </c>
      <c r="F225" t="inlineStr">
        <is>
          <t>ÖSTERGÖTLANDS LÄN</t>
        </is>
      </c>
      <c r="G225" t="inlineStr">
        <is>
          <t>SÖDERKÖPING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46319</v>
      </c>
      <c r="F226" t="inlineStr">
        <is>
          <t>ÖSTERGÖTLANDS LÄN</t>
        </is>
      </c>
      <c r="G226" t="inlineStr">
        <is>
          <t>SÖDERKÖPING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44888</v>
      </c>
      <c r="E227" s="1" t="n">
        <v>46319</v>
      </c>
      <c r="F227" t="inlineStr">
        <is>
          <t>ÖSTERGÖTLANDS LÄN</t>
        </is>
      </c>
      <c r="G227" t="inlineStr">
        <is>
          <t>SÖDERKÖPING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46319</v>
      </c>
      <c r="F228" t="inlineStr">
        <is>
          <t>ÖSTERGÖTLANDS LÄN</t>
        </is>
      </c>
      <c r="G228" t="inlineStr">
        <is>
          <t>SÖDERKÖPING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46319</v>
      </c>
      <c r="F229" t="inlineStr">
        <is>
          <t>ÖSTERGÖTLANDS LÄN</t>
        </is>
      </c>
      <c r="G229" t="inlineStr">
        <is>
          <t>SÖDERKÖPING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46319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46319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Allmännings- och besparingsskogar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46319</v>
      </c>
      <c r="F232" t="inlineStr">
        <is>
          <t>ÖSTERGÖTLANDS LÄN</t>
        </is>
      </c>
      <c r="G232" t="inlineStr">
        <is>
          <t>SÖDERKÖPING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46319</v>
      </c>
      <c r="F233" t="inlineStr">
        <is>
          <t>ÖSTERGÖTLANDS LÄN</t>
        </is>
      </c>
      <c r="G233" t="inlineStr">
        <is>
          <t>SÖDERKÖPING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46319</v>
      </c>
      <c r="F234" t="inlineStr">
        <is>
          <t>ÖSTERGÖTLANDS LÄN</t>
        </is>
      </c>
      <c r="G234" t="inlineStr">
        <is>
          <t>SÖDERKÖPING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46319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46319</v>
      </c>
      <c r="F236" t="inlineStr">
        <is>
          <t>ÖSTERGÖTLANDS LÄN</t>
        </is>
      </c>
      <c r="G236" t="inlineStr">
        <is>
          <t>SÖDERKÖPING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46319</v>
      </c>
      <c r="F237" t="inlineStr">
        <is>
          <t>ÖSTERGÖTLANDS LÄN</t>
        </is>
      </c>
      <c r="G237" t="inlineStr">
        <is>
          <t>SÖDERKÖPING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45344</v>
      </c>
      <c r="E238" s="1" t="n">
        <v>46319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46319</v>
      </c>
      <c r="F239" t="inlineStr">
        <is>
          <t>ÖSTERGÖTLANDS LÄN</t>
        </is>
      </c>
      <c r="G239" t="inlineStr">
        <is>
          <t>SÖDERKÖPING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46319</v>
      </c>
      <c r="F240" t="inlineStr">
        <is>
          <t>ÖSTERGÖTLANDS LÄN</t>
        </is>
      </c>
      <c r="G240" t="inlineStr">
        <is>
          <t>SÖDERKÖPING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46319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44572</v>
      </c>
      <c r="E242" s="1" t="n">
        <v>46319</v>
      </c>
      <c r="F242" t="inlineStr">
        <is>
          <t>ÖSTERGÖTLANDS LÄN</t>
        </is>
      </c>
      <c r="G242" t="inlineStr">
        <is>
          <t>SÖDERKÖPING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44736</v>
      </c>
      <c r="E243" s="1" t="n">
        <v>46319</v>
      </c>
      <c r="F243" t="inlineStr">
        <is>
          <t>ÖSTERGÖTLANDS LÄN</t>
        </is>
      </c>
      <c r="G243" t="inlineStr">
        <is>
          <t>SÖDERKÖPING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46319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46319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46319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44956</v>
      </c>
      <c r="E247" s="1" t="n">
        <v>46319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46319</v>
      </c>
      <c r="F248" t="inlineStr">
        <is>
          <t>ÖSTERGÖTLANDS LÄN</t>
        </is>
      </c>
      <c r="G248" t="inlineStr">
        <is>
          <t>SÖDERKÖPING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46319</v>
      </c>
      <c r="F249" t="inlineStr">
        <is>
          <t>ÖSTERGÖTLANDS LÄN</t>
        </is>
      </c>
      <c r="G249" t="inlineStr">
        <is>
          <t>SÖDERKÖPING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46319</v>
      </c>
      <c r="F250" t="inlineStr">
        <is>
          <t>ÖSTERGÖTLANDS LÄN</t>
        </is>
      </c>
      <c r="G250" t="inlineStr">
        <is>
          <t>SÖDERKÖPING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45663</v>
      </c>
      <c r="E251" s="1" t="n">
        <v>46319</v>
      </c>
      <c r="F251" t="inlineStr">
        <is>
          <t>ÖSTERGÖTLANDS LÄN</t>
        </is>
      </c>
      <c r="G251" t="inlineStr">
        <is>
          <t>SÖDERKÖPING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46319</v>
      </c>
      <c r="F252" t="inlineStr">
        <is>
          <t>ÖSTERGÖTLANDS LÄN</t>
        </is>
      </c>
      <c r="G252" t="inlineStr">
        <is>
          <t>SÖDERKÖPING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46319</v>
      </c>
      <c r="F253" t="inlineStr">
        <is>
          <t>ÖSTERGÖTLANDS LÄN</t>
        </is>
      </c>
      <c r="G253" t="inlineStr">
        <is>
          <t>SÖDERKÖPING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46319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46319</v>
      </c>
      <c r="F255" t="inlineStr">
        <is>
          <t>ÖSTERGÖTLANDS LÄN</t>
        </is>
      </c>
      <c r="G255" t="inlineStr">
        <is>
          <t>SÖDERKÖPING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46319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45751</v>
      </c>
      <c r="E257" s="1" t="n">
        <v>46319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46319</v>
      </c>
      <c r="F258" t="inlineStr">
        <is>
          <t>ÖSTERGÖTLANDS LÄN</t>
        </is>
      </c>
      <c r="G258" t="inlineStr">
        <is>
          <t>SÖDERKÖPING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46319</v>
      </c>
      <c r="F259" t="inlineStr">
        <is>
          <t>ÖSTERGÖTLANDS LÄN</t>
        </is>
      </c>
      <c r="G259" t="inlineStr">
        <is>
          <t>SÖDERKÖPING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46319</v>
      </c>
      <c r="F260" t="inlineStr">
        <is>
          <t>ÖSTERGÖTLANDS LÄN</t>
        </is>
      </c>
      <c r="G260" t="inlineStr">
        <is>
          <t>SÖDERKÖPING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45055</v>
      </c>
      <c r="E261" s="1" t="n">
        <v>46319</v>
      </c>
      <c r="F261" t="inlineStr">
        <is>
          <t>ÖSTERGÖTLANDS LÄN</t>
        </is>
      </c>
      <c r="G261" t="inlineStr">
        <is>
          <t>SÖDERKÖPING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44865</v>
      </c>
      <c r="E262" s="1" t="n">
        <v>46319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46319</v>
      </c>
      <c r="F263" t="inlineStr">
        <is>
          <t>ÖSTERGÖTLANDS LÄN</t>
        </is>
      </c>
      <c r="G263" t="inlineStr">
        <is>
          <t>SÖDERKÖPING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46319</v>
      </c>
      <c r="F264" t="inlineStr">
        <is>
          <t>ÖSTERGÖTLANDS LÄN</t>
        </is>
      </c>
      <c r="G264" t="inlineStr">
        <is>
          <t>SÖDERKÖPING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46319</v>
      </c>
      <c r="F265" t="inlineStr">
        <is>
          <t>ÖSTERGÖTLANDS LÄN</t>
        </is>
      </c>
      <c r="G265" t="inlineStr">
        <is>
          <t>SÖDERKÖPING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66075-2021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44517</v>
      </c>
      <c r="E266" s="1" t="n">
        <v>46319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Kyrkan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46319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46319</v>
      </c>
      <c r="F268" t="inlineStr">
        <is>
          <t>ÖSTERGÖTLANDS LÄN</t>
        </is>
      </c>
      <c r="G268" t="inlineStr">
        <is>
          <t>SÖDERKÖPING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46319</v>
      </c>
      <c r="F269" t="inlineStr">
        <is>
          <t>ÖSTERGÖTLANDS LÄN</t>
        </is>
      </c>
      <c r="G269" t="inlineStr">
        <is>
          <t>SÖDERKÖPING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46319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46319</v>
      </c>
      <c r="F271" t="inlineStr">
        <is>
          <t>ÖSTERGÖTLANDS LÄN</t>
        </is>
      </c>
      <c r="G271" t="inlineStr">
        <is>
          <t>SÖDERKÖPING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46319</v>
      </c>
      <c r="F272" t="inlineStr">
        <is>
          <t>ÖSTERGÖTLANDS LÄN</t>
        </is>
      </c>
      <c r="G272" t="inlineStr">
        <is>
          <t>SÖDERKÖPING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46319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46319</v>
      </c>
      <c r="F274" t="inlineStr">
        <is>
          <t>ÖSTERGÖTLANDS LÄN</t>
        </is>
      </c>
      <c r="G274" t="inlineStr">
        <is>
          <t>SÖDERKÖPING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46319</v>
      </c>
      <c r="F275" t="inlineStr">
        <is>
          <t>ÖSTERGÖTLANDS LÄN</t>
        </is>
      </c>
      <c r="G275" t="inlineStr">
        <is>
          <t>SÖDERKÖPING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46319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46319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44862</v>
      </c>
      <c r="E278" s="1" t="n">
        <v>46319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44813</v>
      </c>
      <c r="E279" s="1" t="n">
        <v>46319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46319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46319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46319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46319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46319</v>
      </c>
      <c r="F284" t="inlineStr">
        <is>
          <t>ÖSTERGÖTLANDS LÄN</t>
        </is>
      </c>
      <c r="G284" t="inlineStr">
        <is>
          <t>SÖDERKÖPING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46319</v>
      </c>
      <c r="F285" t="inlineStr">
        <is>
          <t>ÖSTERGÖTLANDS LÄN</t>
        </is>
      </c>
      <c r="G285" t="inlineStr">
        <is>
          <t>SÖDERKÖPING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46319</v>
      </c>
      <c r="F286" t="inlineStr">
        <is>
          <t>ÖSTERGÖTLANDS LÄN</t>
        </is>
      </c>
      <c r="G286" t="inlineStr">
        <is>
          <t>SÖDERKÖPING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46319</v>
      </c>
      <c r="F287" t="inlineStr">
        <is>
          <t>ÖSTERGÖTLANDS LÄN</t>
        </is>
      </c>
      <c r="G287" t="inlineStr">
        <is>
          <t>SÖDERKÖPING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46319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46319</v>
      </c>
      <c r="F289" t="inlineStr">
        <is>
          <t>ÖSTERGÖTLANDS LÄN</t>
        </is>
      </c>
      <c r="G289" t="inlineStr">
        <is>
          <t>SÖDERKÖPING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46319</v>
      </c>
      <c r="F290" t="inlineStr">
        <is>
          <t>ÖSTERGÖTLANDS LÄN</t>
        </is>
      </c>
      <c r="G290" t="inlineStr">
        <is>
          <t>SÖDERKÖPING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46319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Kyrkan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46319</v>
      </c>
      <c r="F292" t="inlineStr">
        <is>
          <t>ÖSTERGÖTLANDS LÄN</t>
        </is>
      </c>
      <c r="G292" t="inlineStr">
        <is>
          <t>SÖDERKÖPING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46319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46319</v>
      </c>
      <c r="F294" t="inlineStr">
        <is>
          <t>ÖSTERGÖTLANDS LÄN</t>
        </is>
      </c>
      <c r="G294" t="inlineStr">
        <is>
          <t>SÖDERKÖPING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46319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44618</v>
      </c>
      <c r="E296" s="1" t="n">
        <v>46319</v>
      </c>
      <c r="F296" t="inlineStr">
        <is>
          <t>ÖSTERGÖTLANDS LÄN</t>
        </is>
      </c>
      <c r="G296" t="inlineStr">
        <is>
          <t>SÖDERKÖPING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21901-2022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44711</v>
      </c>
      <c r="E297" s="1" t="n">
        <v>46319</v>
      </c>
      <c r="F297" t="inlineStr">
        <is>
          <t>ÖSTERGÖTLANDS LÄN</t>
        </is>
      </c>
      <c r="G297" t="inlineStr">
        <is>
          <t>SÖDERKÖPING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46319</v>
      </c>
      <c r="F298" t="inlineStr">
        <is>
          <t>ÖSTERGÖTLANDS LÄN</t>
        </is>
      </c>
      <c r="G298" t="inlineStr">
        <is>
          <t>SÖDERKÖPING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46319</v>
      </c>
      <c r="F299" t="inlineStr">
        <is>
          <t>ÖSTERGÖTLANDS LÄN</t>
        </is>
      </c>
      <c r="G299" t="inlineStr">
        <is>
          <t>SÖDERKÖPING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45684</v>
      </c>
      <c r="E300" s="1" t="n">
        <v>46319</v>
      </c>
      <c r="F300" t="inlineStr">
        <is>
          <t>ÖSTERGÖTLANDS LÄN</t>
        </is>
      </c>
      <c r="G300" t="inlineStr">
        <is>
          <t>SÖDERKÖPING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46319</v>
      </c>
      <c r="F301" t="inlineStr">
        <is>
          <t>ÖSTERGÖTLANDS LÄN</t>
        </is>
      </c>
      <c r="G301" t="inlineStr">
        <is>
          <t>SÖDERKÖPING</t>
        </is>
      </c>
      <c r="I301" t="n">
        <v>15.3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46319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46319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46319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46319</v>
      </c>
      <c r="F305" t="inlineStr">
        <is>
          <t>ÖSTERGÖTLANDS LÄN</t>
        </is>
      </c>
      <c r="G305" t="inlineStr">
        <is>
          <t>SÖDERKÖPING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46319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46319</v>
      </c>
      <c r="F307" t="inlineStr">
        <is>
          <t>ÖSTERGÖTLANDS LÄN</t>
        </is>
      </c>
      <c r="G307" t="inlineStr">
        <is>
          <t>SÖDERKÖPING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46319</v>
      </c>
      <c r="F308" t="inlineStr">
        <is>
          <t>ÖSTERGÖTLANDS LÄN</t>
        </is>
      </c>
      <c r="G308" t="inlineStr">
        <is>
          <t>SÖDERKÖPING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44754</v>
      </c>
      <c r="E309" s="1" t="n">
        <v>46319</v>
      </c>
      <c r="F309" t="inlineStr">
        <is>
          <t>ÖSTERGÖTLANDS LÄN</t>
        </is>
      </c>
      <c r="G309" t="inlineStr">
        <is>
          <t>SÖDERKÖPING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45297</v>
      </c>
      <c r="E310" s="1" t="n">
        <v>46319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45254</v>
      </c>
      <c r="E311" s="1" t="n">
        <v>46319</v>
      </c>
      <c r="F311" t="inlineStr">
        <is>
          <t>ÖSTERGÖTLANDS LÄN</t>
        </is>
      </c>
      <c r="G311" t="inlineStr">
        <is>
          <t>SÖDERKÖPING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46319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44883</v>
      </c>
      <c r="E313" s="1" t="n">
        <v>46319</v>
      </c>
      <c r="F313" t="inlineStr">
        <is>
          <t>ÖSTERGÖTLANDS LÄN</t>
        </is>
      </c>
      <c r="G313" t="inlineStr">
        <is>
          <t>SÖDERKÖPING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46319</v>
      </c>
      <c r="F314" t="inlineStr">
        <is>
          <t>ÖSTERGÖTLANDS LÄN</t>
        </is>
      </c>
      <c r="G314" t="inlineStr">
        <is>
          <t>SÖDERKÖPING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44775</v>
      </c>
      <c r="E315" s="1" t="n">
        <v>46319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46319</v>
      </c>
      <c r="F316" t="inlineStr">
        <is>
          <t>ÖSTERGÖTLANDS LÄN</t>
        </is>
      </c>
      <c r="G316" t="inlineStr">
        <is>
          <t>SÖDERKÖPING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46319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46319</v>
      </c>
      <c r="F318" t="inlineStr">
        <is>
          <t>ÖSTERGÖTLANDS LÄN</t>
        </is>
      </c>
      <c r="G318" t="inlineStr">
        <is>
          <t>SÖDERKÖPING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46319</v>
      </c>
      <c r="F319" t="inlineStr">
        <is>
          <t>ÖSTERGÖTLANDS LÄN</t>
        </is>
      </c>
      <c r="G319" t="inlineStr">
        <is>
          <t>SÖDERKÖPING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69425-2021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46319</v>
      </c>
      <c r="F320" t="inlineStr">
        <is>
          <t>ÖSTERGÖTLANDS LÄN</t>
        </is>
      </c>
      <c r="G320" t="inlineStr">
        <is>
          <t>SÖDERKÖPING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46319</v>
      </c>
      <c r="F321" t="inlineStr">
        <is>
          <t>ÖSTERGÖTLANDS LÄN</t>
        </is>
      </c>
      <c r="G321" t="inlineStr">
        <is>
          <t>SÖDERKÖPING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46319</v>
      </c>
      <c r="F322" t="inlineStr">
        <is>
          <t>ÖSTERGÖTLANDS LÄN</t>
        </is>
      </c>
      <c r="G322" t="inlineStr">
        <is>
          <t>SÖDERKÖPING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46319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46319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4766-2024</t>
        </is>
      </c>
      <c r="B325" t="inlineStr">
        <is>
          <t>samrådsanmälan</t>
        </is>
      </c>
      <c r="C325" t="inlineStr">
        <is>
          <t>Åtgärd i nyckelbiotop</t>
        </is>
      </c>
      <c r="D325" s="1" t="n">
        <v>45610</v>
      </c>
      <c r="E325" s="1" t="n">
        <v>46319</v>
      </c>
      <c r="F325" t="inlineStr">
        <is>
          <t>ÖSTERGÖTLANDS LÄN</t>
        </is>
      </c>
      <c r="G325" t="inlineStr">
        <is>
          <t>SÖDERKÖPING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3958-2024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45567</v>
      </c>
      <c r="E326" s="1" t="n">
        <v>46319</v>
      </c>
      <c r="F326" t="inlineStr">
        <is>
          <t>ÖSTERGÖTLANDS LÄN</t>
        </is>
      </c>
      <c r="G326" t="inlineStr">
        <is>
          <t>SÖDERKÖPING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4052-2023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45246</v>
      </c>
      <c r="E327" s="1" t="n">
        <v>46319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1568-2024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45426</v>
      </c>
      <c r="E328" s="1" t="n">
        <v>46319</v>
      </c>
      <c r="F328" t="inlineStr">
        <is>
          <t>ÖSTERGÖTLANDS LÄN</t>
        </is>
      </c>
      <c r="G328" t="inlineStr">
        <is>
          <t>SÖDERKÖPING</t>
        </is>
      </c>
      <c r="I328" t="n">
        <v>29.3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3312-2023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45195</v>
      </c>
      <c r="E329" s="1" t="n">
        <v>46319</v>
      </c>
      <c r="F329" t="inlineStr">
        <is>
          <t>ÖSTERGÖTLANDS LÄN</t>
        </is>
      </c>
      <c r="G329" t="inlineStr">
        <is>
          <t>SÖDERKÖPING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1540-2026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46168</v>
      </c>
      <c r="E330" s="1" t="n">
        <v>46319</v>
      </c>
      <c r="F330" t="inlineStr">
        <is>
          <t>ÖSTERGÖTLANDS LÄN</t>
        </is>
      </c>
      <c r="G330" t="inlineStr">
        <is>
          <t>SÖDERKÖPING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2026-10-24T02:01:37Z</dcterms:created>
  <dcterms:modified xmlns:dcterms="http://purl.org/dc/terms/" xmlns:xsi="http://www.w3.org/2001/XMLSchema-instance" xsi:type="dcterms:W3CDTF">2026-10-24T02:01:37Z</dcterms:modified>
</cp:coreProperties>
</file>