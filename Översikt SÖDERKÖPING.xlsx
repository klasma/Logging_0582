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46216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46216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46216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46216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46216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46216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46216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46216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46216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46216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46216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Skogsalm
Backklöver
Jungfrulin
Svinrot</t>
        </is>
      </c>
      <c r="V12">
        <f>HYPERLINK("https://klasma.github.io/Logging_0582/artfynd/A 42909-2021 artfynd.xlsx", "A 42909-2021")</f>
        <v/>
      </c>
      <c r="W12">
        <f>HYPERLINK("https://klasma.github.io/Logging_0582/kartor/A 42909-2021 karta.png", "A 42909-2021")</f>
        <v/>
      </c>
      <c r="Y12">
        <f>HYPERLINK("https://klasma.github.io/Logging_0582/klagomål/A 42909-2021 FSC-klagomål.docx", "A 42909-2021")</f>
        <v/>
      </c>
      <c r="Z12">
        <f>HYPERLINK("https://klasma.github.io/Logging_0582/klagomålsmail/A 42909-2021 FSC-klagomål mail.docx", "A 42909-2021")</f>
        <v/>
      </c>
      <c r="AA12">
        <f>HYPERLINK("https://klasma.github.io/Logging_0582/tillsyn/A 42909-2021 tillsynsbegäran.docx", "A 42909-2021")</f>
        <v/>
      </c>
      <c r="AB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46216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s="2" t="inlineStr">
        <is>
          <t>Gyllensopp
Persiljespindling
Vanlig groda
Vanlig padda</t>
        </is>
      </c>
      <c r="V13">
        <f>HYPERLINK("https://klasma.github.io/Logging_0582/artfynd/A 26935-2026 artfynd.xlsx", "A 26935-2026")</f>
        <v/>
      </c>
      <c r="W13">
        <f>HYPERLINK("https://klasma.github.io/Logging_0582/kartor/A 26935-2026 karta.png", "A 26935-2026")</f>
        <v/>
      </c>
      <c r="Y13">
        <f>HYPERLINK("https://klasma.github.io/Logging_0582/klagomål/A 26935-2026 FSC-klagomål.docx", "A 26935-2026")</f>
        <v/>
      </c>
      <c r="Z13">
        <f>HYPERLINK("https://klasma.github.io/Logging_0582/klagomålsmail/A 26935-2026 FSC-klagomål mail.docx", "A 26935-2026")</f>
        <v/>
      </c>
      <c r="AA13">
        <f>HYPERLINK("https://klasma.github.io/Logging_0582/tillsyn/A 26935-2026 tillsynsbegäran.docx", "A 26935-2026")</f>
        <v/>
      </c>
      <c r="AB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46216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Nordfladdermus
Dvärgpipistrell
Större brunfladdermus</t>
        </is>
      </c>
      <c r="V14">
        <f>HYPERLINK("https://klasma.github.io/Logging_0582/artfynd/A 30438-2022 artfynd.xlsx", "A 30438-2022")</f>
        <v/>
      </c>
      <c r="W14">
        <f>HYPERLINK("https://klasma.github.io/Logging_0582/kartor/A 30438-2022 karta.png", "A 30438-2022")</f>
        <v/>
      </c>
      <c r="Y14">
        <f>HYPERLINK("https://klasma.github.io/Logging_0582/klagomål/A 30438-2022 FSC-klagomål.docx", "A 30438-2022")</f>
        <v/>
      </c>
      <c r="Z14">
        <f>HYPERLINK("https://klasma.github.io/Logging_0582/klagomålsmail/A 30438-2022 FSC-klagomål mail.docx", "A 30438-2022")</f>
        <v/>
      </c>
      <c r="AA14">
        <f>HYPERLINK("https://klasma.github.io/Logging_0582/tillsyn/A 30438-2022 tillsynsbegäran.docx", "A 30438-2022")</f>
        <v/>
      </c>
      <c r="AB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46216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s="2" t="inlineStr">
        <is>
          <t>Vedskivlav
Blompraktbagge
Tjäder</t>
        </is>
      </c>
      <c r="V15">
        <f>HYPERLINK("https://klasma.github.io/Logging_0582/artfynd/A 23756-2026 artfynd.xlsx", "A 23756-2026")</f>
        <v/>
      </c>
      <c r="W15">
        <f>HYPERLINK("https://klasma.github.io/Logging_0582/kartor/A 23756-2026 karta.png", "A 23756-2026")</f>
        <v/>
      </c>
      <c r="Y15">
        <f>HYPERLINK("https://klasma.github.io/Logging_0582/klagomål/A 23756-2026 FSC-klagomål.docx", "A 23756-2026")</f>
        <v/>
      </c>
      <c r="Z15">
        <f>HYPERLINK("https://klasma.github.io/Logging_0582/klagomålsmail/A 23756-2026 FSC-klagomål mail.docx", "A 23756-2026")</f>
        <v/>
      </c>
      <c r="AA15">
        <f>HYPERLINK("https://klasma.github.io/Logging_0582/tillsyn/A 23756-2026 tillsynsbegäran.docx", "A 23756-2026")</f>
        <v/>
      </c>
      <c r="AB15">
        <f>HYPERLINK("https://klasma.github.io/Logging_0582/tillsynsmail/A 23756-2026 tillsynsbegäran mail.docx", "A 23756-2026")</f>
        <v/>
      </c>
      <c r="AC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46216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46216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Tallticka
Igelkottsröksvamp</t>
        </is>
      </c>
      <c r="V17">
        <f>HYPERLINK("https://klasma.github.io/Logging_0582/artfynd/A 394-2026 artfynd.xlsx", "A 394-2026")</f>
        <v/>
      </c>
      <c r="W17">
        <f>HYPERLINK("https://klasma.github.io/Logging_0582/kartor/A 394-2026 karta.png", "A 394-2026")</f>
        <v/>
      </c>
      <c r="Y17">
        <f>HYPERLINK("https://klasma.github.io/Logging_0582/klagomål/A 394-2026 FSC-klagomål.docx", "A 394-2026")</f>
        <v/>
      </c>
      <c r="Z17">
        <f>HYPERLINK("https://klasma.github.io/Logging_0582/klagomålsmail/A 394-2026 FSC-klagomål mail.docx", "A 394-2026")</f>
        <v/>
      </c>
      <c r="AA17">
        <f>HYPERLINK("https://klasma.github.io/Logging_0582/tillsyn/A 394-2026 tillsynsbegäran.docx", "A 394-2026")</f>
        <v/>
      </c>
      <c r="AB17">
        <f>HYPERLINK("https://klasma.github.io/Logging_0582/tillsynsmail/A 394-2026 tillsynsbegäran mail.docx", "A 394-2026")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46216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Vedskivlav
Vanlig padda</t>
        </is>
      </c>
      <c r="V18">
        <f>HYPERLINK("https://klasma.github.io/Logging_0582/artfynd/A 37183-2025 artfynd.xlsx", "A 37183-2025")</f>
        <v/>
      </c>
      <c r="W18">
        <f>HYPERLINK("https://klasma.github.io/Logging_0582/kartor/A 37183-2025 karta.png", "A 37183-2025")</f>
        <v/>
      </c>
      <c r="Y18">
        <f>HYPERLINK("https://klasma.github.io/Logging_0582/klagomål/A 37183-2025 FSC-klagomål.docx", "A 37183-2025")</f>
        <v/>
      </c>
      <c r="Z18">
        <f>HYPERLINK("https://klasma.github.io/Logging_0582/klagomålsmail/A 37183-2025 FSC-klagomål mail.docx", "A 37183-2025")</f>
        <v/>
      </c>
      <c r="AA18">
        <f>HYPERLINK("https://klasma.github.io/Logging_0582/tillsyn/A 37183-2025 tillsynsbegäran.docx", "A 37183-2025")</f>
        <v/>
      </c>
      <c r="AB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46216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Hasselsnok
Kopparödla</t>
        </is>
      </c>
      <c r="V19">
        <f>HYPERLINK("https://klasma.github.io/Logging_0582/artfynd/A 21648-2023 artfynd.xlsx", "A 21648-2023")</f>
        <v/>
      </c>
      <c r="W19">
        <f>HYPERLINK("https://klasma.github.io/Logging_0582/kartor/A 21648-2023 karta.png", "A 21648-2023")</f>
        <v/>
      </c>
      <c r="Y19">
        <f>HYPERLINK("https://klasma.github.io/Logging_0582/klagomål/A 21648-2023 FSC-klagomål.docx", "A 21648-2023")</f>
        <v/>
      </c>
      <c r="Z19">
        <f>HYPERLINK("https://klasma.github.io/Logging_0582/klagomålsmail/A 21648-2023 FSC-klagomål mail.docx", "A 21648-2023")</f>
        <v/>
      </c>
      <c r="AA19">
        <f>HYPERLINK("https://klasma.github.io/Logging_0582/tillsyn/A 21648-2023 tillsynsbegäran.docx", "A 21648-2023")</f>
        <v/>
      </c>
      <c r="AB19">
        <f>HYPERLINK("https://klasma.github.io/Logging_0582/tillsynsmail/A 21648-2023 tillsynsbegäran mail.docx", "A 21648-2023")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46216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Huggorm
Vanlig snok</t>
        </is>
      </c>
      <c r="V20">
        <f>HYPERLINK("https://klasma.github.io/Logging_0582/artfynd/A 7847-2026 artfynd.xlsx", "A 7847-2026")</f>
        <v/>
      </c>
      <c r="W20">
        <f>HYPERLINK("https://klasma.github.io/Logging_0582/kartor/A 7847-2026 karta.png", "A 7847-2026")</f>
        <v/>
      </c>
      <c r="Y20">
        <f>HYPERLINK("https://klasma.github.io/Logging_0582/klagomål/A 7847-2026 FSC-klagomål.docx", "A 7847-2026")</f>
        <v/>
      </c>
      <c r="Z20">
        <f>HYPERLINK("https://klasma.github.io/Logging_0582/klagomålsmail/A 7847-2026 FSC-klagomål mail.docx", "A 7847-2026")</f>
        <v/>
      </c>
      <c r="AA20">
        <f>HYPERLINK("https://klasma.github.io/Logging_0582/tillsyn/A 7847-2026 tillsynsbegäran.docx", "A 7847-2026")</f>
        <v/>
      </c>
      <c r="AB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46216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 dropplav
Gulpudrad spiklav</t>
        </is>
      </c>
      <c r="V21">
        <f>HYPERLINK("https://klasma.github.io/Logging_0582/artfynd/A 21042-2026 artfynd.xlsx", "A 21042-2026")</f>
        <v/>
      </c>
      <c r="W21">
        <f>HYPERLINK("https://klasma.github.io/Logging_0582/kartor/A 21042-2026 karta.png", "A 21042-2026")</f>
        <v/>
      </c>
      <c r="Y21">
        <f>HYPERLINK("https://klasma.github.io/Logging_0582/klagomål/A 21042-2026 FSC-klagomål.docx", "A 21042-2026")</f>
        <v/>
      </c>
      <c r="Z21">
        <f>HYPERLINK("https://klasma.github.io/Logging_0582/klagomålsmail/A 21042-2026 FSC-klagomål mail.docx", "A 21042-2026")</f>
        <v/>
      </c>
      <c r="AA21">
        <f>HYPERLINK("https://klasma.github.io/Logging_0582/tillsyn/A 21042-2026 tillsynsbegäran.docx", "A 21042-2026")</f>
        <v/>
      </c>
      <c r="AB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46216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Krusfrö
Sångsvan</t>
        </is>
      </c>
      <c r="V22">
        <f>HYPERLINK("https://klasma.github.io/Logging_0582/artfynd/A 49366-2023 artfynd.xlsx", "A 49366-2023")</f>
        <v/>
      </c>
      <c r="W22">
        <f>HYPERLINK("https://klasma.github.io/Logging_0582/kartor/A 49366-2023 karta.png", "A 49366-2023")</f>
        <v/>
      </c>
      <c r="Y22">
        <f>HYPERLINK("https://klasma.github.io/Logging_0582/klagomål/A 49366-2023 FSC-klagomål.docx", "A 49366-2023")</f>
        <v/>
      </c>
      <c r="Z22">
        <f>HYPERLINK("https://klasma.github.io/Logging_0582/klagomålsmail/A 49366-2023 FSC-klagomål mail.docx", "A 49366-2023")</f>
        <v/>
      </c>
      <c r="AA22">
        <f>HYPERLINK("https://klasma.github.io/Logging_0582/tillsyn/A 49366-2023 tillsynsbegäran.docx", "A 49366-2023")</f>
        <v/>
      </c>
      <c r="AB22">
        <f>HYPERLINK("https://klasma.github.io/Logging_0582/tillsynsmail/A 49366-2023 tillsynsbegäran mail.docx", "A 49366-2023")</f>
        <v/>
      </c>
      <c r="AC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46216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46216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46216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s="2" t="inlineStr">
        <is>
          <t>Rödlånke</t>
        </is>
      </c>
      <c r="V25">
        <f>HYPERLINK("https://klasma.github.io/Logging_0582/artfynd/A 354-2024 artfynd.xlsx", "A 354-2024")</f>
        <v/>
      </c>
      <c r="W25">
        <f>HYPERLINK("https://klasma.github.io/Logging_0582/kartor/A 354-2024 karta.png", "A 354-2024")</f>
        <v/>
      </c>
      <c r="Y25">
        <f>HYPERLINK("https://klasma.github.io/Logging_0582/klagomål/A 354-2024 FSC-klagomål.docx", "A 354-2024")</f>
        <v/>
      </c>
      <c r="Z25">
        <f>HYPERLINK("https://klasma.github.io/Logging_0582/klagomålsmail/A 354-2024 FSC-klagomål mail.docx", "A 354-2024")</f>
        <v/>
      </c>
      <c r="AA25">
        <f>HYPERLINK("https://klasma.github.io/Logging_0582/tillsyn/A 354-2024 tillsynsbegäran.docx", "A 354-2024")</f>
        <v/>
      </c>
      <c r="AB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46216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Hasselsnok</t>
        </is>
      </c>
      <c r="V26">
        <f>HYPERLINK("https://klasma.github.io/Logging_0582/artfynd/A 8156-2023 artfynd.xlsx", "A 8156-2023")</f>
        <v/>
      </c>
      <c r="W26">
        <f>HYPERLINK("https://klasma.github.io/Logging_0582/kartor/A 8156-2023 karta.png", "A 8156-2023")</f>
        <v/>
      </c>
      <c r="Y26">
        <f>HYPERLINK("https://klasma.github.io/Logging_0582/klagomål/A 8156-2023 FSC-klagomål.docx", "A 8156-2023")</f>
        <v/>
      </c>
      <c r="Z26">
        <f>HYPERLINK("https://klasma.github.io/Logging_0582/klagomålsmail/A 8156-2023 FSC-klagomål mail.docx", "A 8156-2023")</f>
        <v/>
      </c>
      <c r="AA26">
        <f>HYPERLINK("https://klasma.github.io/Logging_0582/tillsyn/A 8156-2023 tillsynsbegäran.docx", "A 8156-2023")</f>
        <v/>
      </c>
      <c r="AB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46216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Vippärt</t>
        </is>
      </c>
      <c r="V27">
        <f>HYPERLINK("https://klasma.github.io/Logging_0582/artfynd/A 28549-2024 artfynd.xlsx", "A 28549-2024")</f>
        <v/>
      </c>
      <c r="W27">
        <f>HYPERLINK("https://klasma.github.io/Logging_0582/kartor/A 28549-2024 karta.png", "A 28549-2024")</f>
        <v/>
      </c>
      <c r="Y27">
        <f>HYPERLINK("https://klasma.github.io/Logging_0582/klagomål/A 28549-2024 FSC-klagomål.docx", "A 28549-2024")</f>
        <v/>
      </c>
      <c r="Z27">
        <f>HYPERLINK("https://klasma.github.io/Logging_0582/klagomålsmail/A 28549-2024 FSC-klagomål mail.docx", "A 28549-2024")</f>
        <v/>
      </c>
      <c r="AA27">
        <f>HYPERLINK("https://klasma.github.io/Logging_0582/tillsyn/A 28549-2024 tillsynsbegäran.docx", "A 28549-2024")</f>
        <v/>
      </c>
      <c r="AB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46216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Toppvaxing</t>
        </is>
      </c>
      <c r="V28">
        <f>HYPERLINK("https://klasma.github.io/Logging_0582/artfynd/A 8009-2026 artfynd.xlsx", "A 8009-2026")</f>
        <v/>
      </c>
      <c r="W28">
        <f>HYPERLINK("https://klasma.github.io/Logging_0582/kartor/A 8009-2026 karta.png", "A 8009-2026")</f>
        <v/>
      </c>
      <c r="Y28">
        <f>HYPERLINK("https://klasma.github.io/Logging_0582/klagomål/A 8009-2026 FSC-klagomål.docx", "A 8009-2026")</f>
        <v/>
      </c>
      <c r="Z28">
        <f>HYPERLINK("https://klasma.github.io/Logging_0582/klagomålsmail/A 8009-2026 FSC-klagomål mail.docx", "A 8009-2026")</f>
        <v/>
      </c>
      <c r="AA28">
        <f>HYPERLINK("https://klasma.github.io/Logging_0582/tillsyn/A 8009-2026 tillsynsbegäran.docx", "A 8009-2026")</f>
        <v/>
      </c>
      <c r="AB28">
        <f>HYPERLINK("https://klasma.github.io/Logging_0582/tillsynsmail/A 8009-2026 tillsynsbegäran mail.docx", "A 8009-2026")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46216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Nattskärra</t>
        </is>
      </c>
      <c r="V29">
        <f>HYPERLINK("https://klasma.github.io/Logging_0582/artfynd/A 30324-2024 artfynd.xlsx", "A 30324-2024")</f>
        <v/>
      </c>
      <c r="W29">
        <f>HYPERLINK("https://klasma.github.io/Logging_0582/kartor/A 30324-2024 karta.png", "A 30324-2024")</f>
        <v/>
      </c>
      <c r="Y29">
        <f>HYPERLINK("https://klasma.github.io/Logging_0582/klagomål/A 30324-2024 FSC-klagomål.docx", "A 30324-2024")</f>
        <v/>
      </c>
      <c r="Z29">
        <f>HYPERLINK("https://klasma.github.io/Logging_0582/klagomålsmail/A 30324-2024 FSC-klagomål mail.docx", "A 30324-2024")</f>
        <v/>
      </c>
      <c r="AA29">
        <f>HYPERLINK("https://klasma.github.io/Logging_0582/tillsyn/A 30324-2024 tillsynsbegäran.docx", "A 30324-2024")</f>
        <v/>
      </c>
      <c r="AB29">
        <f>HYPERLINK("https://klasma.github.io/Logging_0582/tillsynsmail/A 30324-2024 tillsynsbegäran mail.docx", "A 30324-2024")</f>
        <v/>
      </c>
      <c r="AC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46216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s="2" t="inlineStr">
        <is>
          <t>Ask</t>
        </is>
      </c>
      <c r="V30">
        <f>HYPERLINK("https://klasma.github.io/Logging_0582/artfynd/A 10992-2026 artfynd.xlsx", "A 10992-2026")</f>
        <v/>
      </c>
      <c r="W30">
        <f>HYPERLINK("https://klasma.github.io/Logging_0582/kartor/A 10992-2026 karta.png", "A 10992-2026")</f>
        <v/>
      </c>
      <c r="Y30">
        <f>HYPERLINK("https://klasma.github.io/Logging_0582/klagomål/A 10992-2026 FSC-klagomål.docx", "A 10992-2026")</f>
        <v/>
      </c>
      <c r="Z30">
        <f>HYPERLINK("https://klasma.github.io/Logging_0582/klagomålsmail/A 10992-2026 FSC-klagomål mail.docx", "A 10992-2026")</f>
        <v/>
      </c>
      <c r="AA30">
        <f>HYPERLINK("https://klasma.github.io/Logging_0582/tillsyn/A 10992-2026 tillsynsbegäran.docx", "A 10992-2026")</f>
        <v/>
      </c>
      <c r="AB30">
        <f>HYPERLINK("https://klasma.github.io/Logging_0582/tillsynsmail/A 10992-2026 tillsynsbegäran mail.docx", "A 10992-2026")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46216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17632-2026 artfynd.xlsx", "A 17632-2026")</f>
        <v/>
      </c>
      <c r="W31">
        <f>HYPERLINK("https://klasma.github.io/Logging_0582/kartor/A 17632-2026 karta.png", "A 17632-2026")</f>
        <v/>
      </c>
      <c r="Y31">
        <f>HYPERLINK("https://klasma.github.io/Logging_0582/klagomål/A 17632-2026 FSC-klagomål.docx", "A 17632-2026")</f>
        <v/>
      </c>
      <c r="Z31">
        <f>HYPERLINK("https://klasma.github.io/Logging_0582/klagomålsmail/A 17632-2026 FSC-klagomål mail.docx", "A 17632-2026")</f>
        <v/>
      </c>
      <c r="AA31">
        <f>HYPERLINK("https://klasma.github.io/Logging_0582/tillsyn/A 17632-2026 tillsynsbegäran.docx", "A 17632-2026")</f>
        <v/>
      </c>
      <c r="AB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46216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Fällmossa</t>
        </is>
      </c>
      <c r="V32">
        <f>HYPERLINK("https://klasma.github.io/Logging_0582/artfynd/A 50708-2024 artfynd.xlsx", "A 50708-2024")</f>
        <v/>
      </c>
      <c r="W32">
        <f>HYPERLINK("https://klasma.github.io/Logging_0582/kartor/A 50708-2024 karta.png", "A 50708-2024")</f>
        <v/>
      </c>
      <c r="Y32">
        <f>HYPERLINK("https://klasma.github.io/Logging_0582/klagomål/A 50708-2024 FSC-klagomål.docx", "A 50708-2024")</f>
        <v/>
      </c>
      <c r="Z32">
        <f>HYPERLINK("https://klasma.github.io/Logging_0582/klagomålsmail/A 50708-2024 FSC-klagomål mail.docx", "A 50708-2024")</f>
        <v/>
      </c>
      <c r="AA32">
        <f>HYPERLINK("https://klasma.github.io/Logging_0582/tillsyn/A 50708-2024 tillsynsbegäran.docx", "A 50708-2024")</f>
        <v/>
      </c>
      <c r="AB32">
        <f>HYPERLINK("https://klasma.github.io/Logging_0582/tillsynsmail/A 50708-2024 tillsynsbegäran mail.docx", "A 50708-2024")</f>
        <v/>
      </c>
    </row>
    <row r="33" ht="15" customHeight="1">
      <c r="A33" t="inlineStr">
        <is>
          <t>A 20269-2026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46216</v>
      </c>
      <c r="F33" t="inlineStr">
        <is>
          <t>ÖSTERGÖTLANDS LÄN</t>
        </is>
      </c>
      <c r="G33" t="inlineStr">
        <is>
          <t>SÖDERKÖPING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Kösa</t>
        </is>
      </c>
      <c r="V33">
        <f>HYPERLINK("https://klasma.github.io/Logging_0582/artfynd/A 20269-2026 artfynd.xlsx", "A 20269-2026")</f>
        <v/>
      </c>
      <c r="W33">
        <f>HYPERLINK("https://klasma.github.io/Logging_0582/kartor/A 20269-2026 karta.png", "A 20269-2026")</f>
        <v/>
      </c>
      <c r="Y33">
        <f>HYPERLINK("https://klasma.github.io/Logging_0582/klagomål/A 20269-2026 FSC-klagomål.docx", "A 20269-2026")</f>
        <v/>
      </c>
      <c r="Z33">
        <f>HYPERLINK("https://klasma.github.io/Logging_0582/klagomålsmail/A 20269-2026 FSC-klagomål mail.docx", "A 20269-2026")</f>
        <v/>
      </c>
      <c r="AA33">
        <f>HYPERLINK("https://klasma.github.io/Logging_0582/tillsyn/A 20269-2026 tillsynsbegäran.docx", "A 20269-2026")</f>
        <v/>
      </c>
      <c r="AB33">
        <f>HYPERLINK("https://klasma.github.io/Logging_0582/tillsynsmail/A 20269-2026 tillsynsbegäran mail.docx", "A 20269-2026")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46216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HYPERLINK("https://klasma.github.io/Logging_0582/artfynd/A 4709-2025 artfynd.xlsx", "A 4709-2025")</f>
        <v/>
      </c>
      <c r="W34">
        <f>HYPERLINK("https://klasma.github.io/Logging_0582/kartor/A 4709-2025 karta.png", "A 4709-2025")</f>
        <v/>
      </c>
      <c r="Y34">
        <f>HYPERLINK("https://klasma.github.io/Logging_0582/klagomål/A 4709-2025 FSC-klagomål.docx", "A 4709-2025")</f>
        <v/>
      </c>
      <c r="Z34">
        <f>HYPERLINK("https://klasma.github.io/Logging_0582/klagomålsmail/A 4709-2025 FSC-klagomål mail.docx", "A 4709-2025")</f>
        <v/>
      </c>
      <c r="AA34">
        <f>HYPERLINK("https://klasma.github.io/Logging_0582/tillsyn/A 4709-2025 tillsynsbegäran.docx", "A 4709-2025")</f>
        <v/>
      </c>
      <c r="AB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46216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46216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46216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46216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46216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46216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46216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46216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46216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46216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46216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46216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46216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46216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46216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46216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46216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46216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46216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46216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46216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46216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46216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46216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46216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46216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46216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46216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66356-2021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46216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50619-2021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46216</v>
      </c>
      <c r="F64" t="inlineStr">
        <is>
          <t>ÖSTERGÖTLANDS LÄN</t>
        </is>
      </c>
      <c r="G64" t="inlineStr">
        <is>
          <t>SÖDERKÖPING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46216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46216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46216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46216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46216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26594-2023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46216</v>
      </c>
      <c r="F70" t="inlineStr">
        <is>
          <t>ÖSTERGÖTLANDS LÄN</t>
        </is>
      </c>
      <c r="G70" t="inlineStr">
        <is>
          <t>SÖDERKÖPING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44452</v>
      </c>
      <c r="E71" s="1" t="n">
        <v>46216</v>
      </c>
      <c r="F71" t="inlineStr">
        <is>
          <t>ÖSTERGÖTLANDS LÄN</t>
        </is>
      </c>
      <c r="G71" t="inlineStr">
        <is>
          <t>SÖDERKÖPING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63392-2021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46216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26915-2023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46216</v>
      </c>
      <c r="F73" t="inlineStr">
        <is>
          <t>ÖSTERGÖTLANDS LÄN</t>
        </is>
      </c>
      <c r="G73" t="inlineStr">
        <is>
          <t>SÖDERKÖPING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50873-2023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46216</v>
      </c>
      <c r="F74" t="inlineStr">
        <is>
          <t>ÖSTERGÖTLANDS LÄN</t>
        </is>
      </c>
      <c r="G74" t="inlineStr">
        <is>
          <t>SÖDERKÖPING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9002-2023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46216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46216</v>
      </c>
      <c r="F76" t="inlineStr">
        <is>
          <t>ÖSTERGÖTLANDS LÄN</t>
        </is>
      </c>
      <c r="G76" t="inlineStr">
        <is>
          <t>SÖDERKÖPING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61514-2023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46216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60160-2021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44495</v>
      </c>
      <c r="E78" s="1" t="n">
        <v>46216</v>
      </c>
      <c r="F78" t="inlineStr">
        <is>
          <t>ÖSTERGÖTLANDS LÄN</t>
        </is>
      </c>
      <c r="G78" t="inlineStr">
        <is>
          <t>SÖDERKÖPING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20221-2023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45055</v>
      </c>
      <c r="E79" s="1" t="n">
        <v>46216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46216</v>
      </c>
      <c r="F80" t="inlineStr">
        <is>
          <t>ÖSTERGÖTLANDS LÄN</t>
        </is>
      </c>
      <c r="G80" t="inlineStr">
        <is>
          <t>SÖDERKÖPING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13625-2025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46216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Holmen skog AB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16286-2023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46216</v>
      </c>
      <c r="F82" t="inlineStr">
        <is>
          <t>ÖSTERGÖTLANDS LÄN</t>
        </is>
      </c>
      <c r="G82" t="inlineStr">
        <is>
          <t>SÖDERKÖPING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61511-2023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46216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26432-2022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44736</v>
      </c>
      <c r="E84" s="1" t="n">
        <v>46216</v>
      </c>
      <c r="F84" t="inlineStr">
        <is>
          <t>ÖSTERGÖTLANDS LÄN</t>
        </is>
      </c>
      <c r="G84" t="inlineStr">
        <is>
          <t>SÖDERKÖPING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45667</v>
      </c>
      <c r="E85" s="1" t="n">
        <v>46216</v>
      </c>
      <c r="F85" t="inlineStr">
        <is>
          <t>ÖSTERGÖTLANDS LÄN</t>
        </is>
      </c>
      <c r="G85" t="inlineStr">
        <is>
          <t>SÖDERKÖPING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45663</v>
      </c>
      <c r="E86" s="1" t="n">
        <v>46216</v>
      </c>
      <c r="F86" t="inlineStr">
        <is>
          <t>ÖSTERGÖTLANDS LÄN</t>
        </is>
      </c>
      <c r="G86" t="inlineStr">
        <is>
          <t>SÖDERKÖPING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44819-2023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45190</v>
      </c>
      <c r="E87" s="1" t="n">
        <v>46216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25790-2023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45090</v>
      </c>
      <c r="E88" s="1" t="n">
        <v>46216</v>
      </c>
      <c r="F88" t="inlineStr">
        <is>
          <t>ÖSTERGÖTLANDS LÄN</t>
        </is>
      </c>
      <c r="G88" t="inlineStr">
        <is>
          <t>SÖDERKÖPING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27464-2023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46216</v>
      </c>
      <c r="F89" t="inlineStr">
        <is>
          <t>ÖSTERGÖTLANDS LÄN</t>
        </is>
      </c>
      <c r="G89" t="inlineStr">
        <is>
          <t>SÖDERKÖPING</t>
        </is>
      </c>
      <c r="I89" t="n">
        <v>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50866-2023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45218</v>
      </c>
      <c r="E90" s="1" t="n">
        <v>46216</v>
      </c>
      <c r="F90" t="inlineStr">
        <is>
          <t>ÖSTERGÖTLANDS LÄN</t>
        </is>
      </c>
      <c r="G90" t="inlineStr">
        <is>
          <t>SÖDERKÖPING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45685</v>
      </c>
      <c r="E91" s="1" t="n">
        <v>46216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51748-2023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46216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37694-2023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46216</v>
      </c>
      <c r="F93" t="inlineStr">
        <is>
          <t>ÖSTERGÖTLANDS LÄN</t>
        </is>
      </c>
      <c r="G93" t="inlineStr">
        <is>
          <t>SÖDERKÖPING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45692</v>
      </c>
      <c r="E94" s="1" t="n">
        <v>46216</v>
      </c>
      <c r="F94" t="inlineStr">
        <is>
          <t>ÖSTERGÖTLANDS LÄN</t>
        </is>
      </c>
      <c r="G94" t="inlineStr">
        <is>
          <t>SÖDERKÖPING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44754</v>
      </c>
      <c r="E95" s="1" t="n">
        <v>46216</v>
      </c>
      <c r="F95" t="inlineStr">
        <is>
          <t>ÖSTERGÖTLANDS LÄN</t>
        </is>
      </c>
      <c r="G95" t="inlineStr">
        <is>
          <t>SÖDERKÖPING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57349-2023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45245</v>
      </c>
      <c r="E96" s="1" t="n">
        <v>46216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44939</v>
      </c>
      <c r="E97" s="1" t="n">
        <v>46216</v>
      </c>
      <c r="F97" t="inlineStr">
        <is>
          <t>ÖSTERGÖTLANDS LÄN</t>
        </is>
      </c>
      <c r="G97" t="inlineStr">
        <is>
          <t>SÖDERKÖPING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16775-2025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46216</v>
      </c>
      <c r="F98" t="inlineStr">
        <is>
          <t>ÖSTERGÖTLANDS LÄN</t>
        </is>
      </c>
      <c r="G98" t="inlineStr">
        <is>
          <t>SÖDERKÖPING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46216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26058-2022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44734</v>
      </c>
      <c r="E100" s="1" t="n">
        <v>46216</v>
      </c>
      <c r="F100" t="inlineStr">
        <is>
          <t>ÖSTERGÖTLANDS LÄN</t>
        </is>
      </c>
      <c r="G100" t="inlineStr">
        <is>
          <t>SÖDERKÖPING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46216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Holmen skog AB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46216</v>
      </c>
      <c r="F102" t="inlineStr">
        <is>
          <t>ÖSTERGÖTLANDS LÄN</t>
        </is>
      </c>
      <c r="G102" t="inlineStr">
        <is>
          <t>SÖDERKÖPING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39854-2025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46216</v>
      </c>
      <c r="F103" t="inlineStr">
        <is>
          <t>ÖSTERGÖTLANDS LÄN</t>
        </is>
      </c>
      <c r="G103" t="inlineStr">
        <is>
          <t>SÖDERKÖPING</t>
        </is>
      </c>
      <c r="I103" t="n">
        <v>26.6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14776-2025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45742</v>
      </c>
      <c r="E104" s="1" t="n">
        <v>46216</v>
      </c>
      <c r="F104" t="inlineStr">
        <is>
          <t>ÖSTERGÖTLANDS LÄN</t>
        </is>
      </c>
      <c r="G104" t="inlineStr">
        <is>
          <t>SÖDERKÖPING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33726-2023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46216</v>
      </c>
      <c r="F105" t="inlineStr">
        <is>
          <t>ÖSTERGÖTLANDS LÄN</t>
        </is>
      </c>
      <c r="G105" t="inlineStr">
        <is>
          <t>SÖDERKÖPING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33731-2023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46216</v>
      </c>
      <c r="F106" t="inlineStr">
        <is>
          <t>ÖSTERGÖTLANDS LÄN</t>
        </is>
      </c>
      <c r="G106" t="inlineStr">
        <is>
          <t>SÖDERKÖPING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33733-2023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46216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28482-2025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46216</v>
      </c>
      <c r="F108" t="inlineStr">
        <is>
          <t>ÖSTERGÖTLANDS LÄN</t>
        </is>
      </c>
      <c r="G108" t="inlineStr">
        <is>
          <t>SÖDERKÖPING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28487-2025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46216</v>
      </c>
      <c r="F109" t="inlineStr">
        <is>
          <t>ÖSTERGÖTLANDS LÄN</t>
        </is>
      </c>
      <c r="G109" t="inlineStr">
        <is>
          <t>SÖDERKÖPING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46216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46216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44859-2023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46216</v>
      </c>
      <c r="F112" t="inlineStr">
        <is>
          <t>ÖSTERGÖTLANDS LÄN</t>
        </is>
      </c>
      <c r="G112" t="inlineStr">
        <is>
          <t>SÖDERKÖPING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46216</v>
      </c>
      <c r="F113" t="inlineStr">
        <is>
          <t>ÖSTERGÖTLANDS LÄN</t>
        </is>
      </c>
      <c r="G113" t="inlineStr">
        <is>
          <t>SÖDERKÖPING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45044-2023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46216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38595-2022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44813</v>
      </c>
      <c r="E115" s="1" t="n">
        <v>46216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Holmen skog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42768-2025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46216</v>
      </c>
      <c r="F116" t="inlineStr">
        <is>
          <t>ÖSTERGÖTLANDS LÄN</t>
        </is>
      </c>
      <c r="G116" t="inlineStr">
        <is>
          <t>SÖDERKÖPING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45483-2023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46216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23121-2025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46216</v>
      </c>
      <c r="F118" t="inlineStr">
        <is>
          <t>ÖSTERGÖTLANDS LÄN</t>
        </is>
      </c>
      <c r="G118" t="inlineStr">
        <is>
          <t>SÖDERKÖPING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41363-2023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46216</v>
      </c>
      <c r="F119" t="inlineStr">
        <is>
          <t>ÖSTERGÖTLANDS LÄN</t>
        </is>
      </c>
      <c r="G119" t="inlineStr">
        <is>
          <t>SÖDERKÖPING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31628-2022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46216</v>
      </c>
      <c r="F120" t="inlineStr">
        <is>
          <t>ÖSTERGÖTLANDS LÄN</t>
        </is>
      </c>
      <c r="G120" t="inlineStr">
        <is>
          <t>SÖDERKÖPING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45648-2025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46216</v>
      </c>
      <c r="F121" t="inlineStr">
        <is>
          <t>ÖSTERGÖTLANDS LÄN</t>
        </is>
      </c>
      <c r="G121" t="inlineStr">
        <is>
          <t>SÖDERKÖPING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45518-2025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46216</v>
      </c>
      <c r="F122" t="inlineStr">
        <is>
          <t>ÖSTERGÖTLANDS LÄN</t>
        </is>
      </c>
      <c r="G122" t="inlineStr">
        <is>
          <t>SÖDERKÖPING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34404-2025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45846</v>
      </c>
      <c r="E123" s="1" t="n">
        <v>46216</v>
      </c>
      <c r="F123" t="inlineStr">
        <is>
          <t>ÖSTERGÖTLANDS LÄN</t>
        </is>
      </c>
      <c r="G123" t="inlineStr">
        <is>
          <t>SÖDERKÖPING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34392-2025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45846</v>
      </c>
      <c r="E124" s="1" t="n">
        <v>46216</v>
      </c>
      <c r="F124" t="inlineStr">
        <is>
          <t>ÖSTERGÖTLANDS LÄN</t>
        </is>
      </c>
      <c r="G124" t="inlineStr">
        <is>
          <t>SÖDERKÖPING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64211-2023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46216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45774-2025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46216</v>
      </c>
      <c r="F126" t="inlineStr">
        <is>
          <t>ÖSTERGÖTLANDS LÄN</t>
        </is>
      </c>
      <c r="G126" t="inlineStr">
        <is>
          <t>SÖDERKÖPING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34969-2025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46216</v>
      </c>
      <c r="F127" t="inlineStr">
        <is>
          <t>ÖSTERGÖTLANDS LÄN</t>
        </is>
      </c>
      <c r="G127" t="inlineStr">
        <is>
          <t>SÖDERKÖPING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46216</v>
      </c>
      <c r="F128" t="inlineStr">
        <is>
          <t>ÖSTERGÖTLANDS LÄN</t>
        </is>
      </c>
      <c r="G128" t="inlineStr">
        <is>
          <t>SÖDERKÖPING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46733-2025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46216</v>
      </c>
      <c r="F129" t="inlineStr">
        <is>
          <t>ÖSTERGÖTLANDS LÄN</t>
        </is>
      </c>
      <c r="G129" t="inlineStr">
        <is>
          <t>SÖDERKÖPING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46216</v>
      </c>
      <c r="F130" t="inlineStr">
        <is>
          <t>ÖSTERGÖTLANDS LÄN</t>
        </is>
      </c>
      <c r="G130" t="inlineStr">
        <is>
          <t>SÖDERKÖPING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46643-2025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46216</v>
      </c>
      <c r="F131" t="inlineStr">
        <is>
          <t>ÖSTERGÖTLANDS LÄN</t>
        </is>
      </c>
      <c r="G131" t="inlineStr">
        <is>
          <t>SÖDERKÖPING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46780-2025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46216</v>
      </c>
      <c r="F132" t="inlineStr">
        <is>
          <t>ÖSTERGÖTLANDS LÄN</t>
        </is>
      </c>
      <c r="G132" t="inlineStr">
        <is>
          <t>SÖDERKÖPING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46216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Allmännings- och besparingsskogar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46216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46216</v>
      </c>
      <c r="F135" t="inlineStr">
        <is>
          <t>ÖSTERGÖTLANDS LÄN</t>
        </is>
      </c>
      <c r="G135" t="inlineStr">
        <is>
          <t>SÖDERKÖPING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47428-2024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46216</v>
      </c>
      <c r="F136" t="inlineStr">
        <is>
          <t>ÖSTERGÖTLANDS LÄN</t>
        </is>
      </c>
      <c r="G136" t="inlineStr">
        <is>
          <t>SÖDERKÖPING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46216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45876</v>
      </c>
      <c r="E138" s="1" t="n">
        <v>46216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46216</v>
      </c>
      <c r="F139" t="inlineStr">
        <is>
          <t>ÖSTERGÖTLANDS LÄN</t>
        </is>
      </c>
      <c r="G139" t="inlineStr">
        <is>
          <t>SÖDERKÖPING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10369-2024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46216</v>
      </c>
      <c r="F140" t="inlineStr">
        <is>
          <t>ÖSTERGÖTLANDS LÄN</t>
        </is>
      </c>
      <c r="G140" t="inlineStr">
        <is>
          <t>SÖDERKÖPING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59471-2023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46216</v>
      </c>
      <c r="F141" t="inlineStr">
        <is>
          <t>ÖSTERGÖTLANDS LÄN</t>
        </is>
      </c>
      <c r="G141" t="inlineStr">
        <is>
          <t>SÖDERKÖPING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44965</v>
      </c>
      <c r="E142" s="1" t="n">
        <v>46216</v>
      </c>
      <c r="F142" t="inlineStr">
        <is>
          <t>ÖSTERGÖTLANDS LÄN</t>
        </is>
      </c>
      <c r="G142" t="inlineStr">
        <is>
          <t>SÖDERKÖPING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13792-2025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46216</v>
      </c>
      <c r="F143" t="inlineStr">
        <is>
          <t>ÖSTERGÖTLANDS LÄN</t>
        </is>
      </c>
      <c r="G143" t="inlineStr">
        <is>
          <t>SÖDERKÖPING</t>
        </is>
      </c>
      <c r="H143" t="inlineStr">
        <is>
          <t>Holmen skog AB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50241-2022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46216</v>
      </c>
      <c r="F144" t="inlineStr">
        <is>
          <t>ÖSTERGÖTLANDS LÄN</t>
        </is>
      </c>
      <c r="G144" t="inlineStr">
        <is>
          <t>SÖDERKÖPING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26912-2023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46216</v>
      </c>
      <c r="F145" t="inlineStr">
        <is>
          <t>ÖSTERGÖTLANDS LÄN</t>
        </is>
      </c>
      <c r="G145" t="inlineStr">
        <is>
          <t>SÖDERKÖPING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38533-2025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46216</v>
      </c>
      <c r="F146" t="inlineStr">
        <is>
          <t>ÖSTERGÖTLANDS LÄN</t>
        </is>
      </c>
      <c r="G146" t="inlineStr">
        <is>
          <t>SÖDERKÖPING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29519-2023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45106</v>
      </c>
      <c r="E147" s="1" t="n">
        <v>46216</v>
      </c>
      <c r="F147" t="inlineStr">
        <is>
          <t>ÖSTERGÖTLANDS LÄN</t>
        </is>
      </c>
      <c r="G147" t="inlineStr">
        <is>
          <t>SÖDERKÖPING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46216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46216</v>
      </c>
      <c r="F149" t="inlineStr">
        <is>
          <t>ÖSTERGÖTLANDS LÄN</t>
        </is>
      </c>
      <c r="G149" t="inlineStr">
        <is>
          <t>SÖDERKÖPING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37684-2023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46216</v>
      </c>
      <c r="F150" t="inlineStr">
        <is>
          <t>ÖSTERGÖTLANDS LÄN</t>
        </is>
      </c>
      <c r="G150" t="inlineStr">
        <is>
          <t>SÖDERKÖPING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37687-2023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46216</v>
      </c>
      <c r="F151" t="inlineStr">
        <is>
          <t>ÖSTERGÖTLANDS LÄN</t>
        </is>
      </c>
      <c r="G151" t="inlineStr">
        <is>
          <t>SÖDERKÖPING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46422-2023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46216</v>
      </c>
      <c r="F152" t="inlineStr">
        <is>
          <t>ÖSTERGÖTLANDS LÄN</t>
        </is>
      </c>
      <c r="G152" t="inlineStr">
        <is>
          <t>SÖDERKÖPING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58398-2023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46216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46216</v>
      </c>
      <c r="F154" t="inlineStr">
        <is>
          <t>ÖSTERGÖTLANDS LÄN</t>
        </is>
      </c>
      <c r="G154" t="inlineStr">
        <is>
          <t>SÖDERKÖPING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53874-2025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46216</v>
      </c>
      <c r="F155" t="inlineStr">
        <is>
          <t>ÖSTERGÖTLANDS LÄN</t>
        </is>
      </c>
      <c r="G155" t="inlineStr">
        <is>
          <t>SÖDERKÖPING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14579-2025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46216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11951-2024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46216</v>
      </c>
      <c r="F157" t="inlineStr">
        <is>
          <t>ÖSTERGÖTLANDS LÄN</t>
        </is>
      </c>
      <c r="G157" t="inlineStr">
        <is>
          <t>SÖDERKÖPING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46216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Kyrkan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46216</v>
      </c>
      <c r="F159" t="inlineStr">
        <is>
          <t>ÖSTERGÖTLANDS LÄN</t>
        </is>
      </c>
      <c r="G159" t="inlineStr">
        <is>
          <t>SÖDERKÖPING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46216</v>
      </c>
      <c r="F160" t="inlineStr">
        <is>
          <t>ÖSTERGÖTLANDS LÄN</t>
        </is>
      </c>
      <c r="G160" t="inlineStr">
        <is>
          <t>SÖDERKÖPING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46216</v>
      </c>
      <c r="F161" t="inlineStr">
        <is>
          <t>ÖSTERGÖTLANDS LÄN</t>
        </is>
      </c>
      <c r="G161" t="inlineStr">
        <is>
          <t>SÖDERKÖPING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56163-2025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46216</v>
      </c>
      <c r="F162" t="inlineStr">
        <is>
          <t>ÖSTERGÖTLANDS LÄN</t>
        </is>
      </c>
      <c r="G162" t="inlineStr">
        <is>
          <t>SÖDERKÖPING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6205-2026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46216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Kyrkan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56166-2025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46216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57888-2022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46216</v>
      </c>
      <c r="F165" t="inlineStr">
        <is>
          <t>ÖSTERGÖTLANDS LÄN</t>
        </is>
      </c>
      <c r="G165" t="inlineStr">
        <is>
          <t>SÖDERKÖPING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6669-2026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46216</v>
      </c>
      <c r="F166" t="inlineStr">
        <is>
          <t>ÖSTERGÖTLANDS LÄN</t>
        </is>
      </c>
      <c r="G166" t="inlineStr">
        <is>
          <t>SÖDERKÖPING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46216</v>
      </c>
      <c r="F167" t="inlineStr">
        <is>
          <t>ÖSTERGÖTLANDS LÄN</t>
        </is>
      </c>
      <c r="G167" t="inlineStr">
        <is>
          <t>SÖDERKÖPING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40356-2023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45169</v>
      </c>
      <c r="E168" s="1" t="n">
        <v>46216</v>
      </c>
      <c r="F168" t="inlineStr">
        <is>
          <t>ÖSTERGÖTLANDS LÄN</t>
        </is>
      </c>
      <c r="G168" t="inlineStr">
        <is>
          <t>SÖDERKÖPING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61802-2022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46216</v>
      </c>
      <c r="F169" t="inlineStr">
        <is>
          <t>ÖSTERGÖTLANDS LÄN</t>
        </is>
      </c>
      <c r="G169" t="inlineStr">
        <is>
          <t>SÖDERKÖPING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7452-2026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46216</v>
      </c>
      <c r="F170" t="inlineStr">
        <is>
          <t>ÖSTERGÖTLANDS LÄN</t>
        </is>
      </c>
      <c r="G170" t="inlineStr">
        <is>
          <t>SÖDERKÖPING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31313-2024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45504</v>
      </c>
      <c r="E171" s="1" t="n">
        <v>46216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50051-2023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46216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7440-2026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46216</v>
      </c>
      <c r="F173" t="inlineStr">
        <is>
          <t>ÖSTERGÖTLANDS LÄN</t>
        </is>
      </c>
      <c r="G173" t="inlineStr">
        <is>
          <t>SÖDERKÖPING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58450-2025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46216</v>
      </c>
      <c r="F174" t="inlineStr">
        <is>
          <t>ÖSTERGÖTLANDS LÄN</t>
        </is>
      </c>
      <c r="G174" t="inlineStr">
        <is>
          <t>SÖDERKÖPING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46061</v>
      </c>
      <c r="E175" s="1" t="n">
        <v>46216</v>
      </c>
      <c r="F175" t="inlineStr">
        <is>
          <t>ÖSTERGÖTLANDS LÄN</t>
        </is>
      </c>
      <c r="G175" t="inlineStr">
        <is>
          <t>SÖDERKÖPING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46216</v>
      </c>
      <c r="F176" t="inlineStr">
        <is>
          <t>ÖSTERGÖTLANDS LÄN</t>
        </is>
      </c>
      <c r="G176" t="inlineStr">
        <is>
          <t>SÖDERKÖPING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46216</v>
      </c>
      <c r="F177" t="inlineStr">
        <is>
          <t>ÖSTERGÖTLANDS LÄN</t>
        </is>
      </c>
      <c r="G177" t="inlineStr">
        <is>
          <t>SÖDERKÖPING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7836-2026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46216</v>
      </c>
      <c r="F178" t="inlineStr">
        <is>
          <t>ÖSTERGÖTLANDS LÄN</t>
        </is>
      </c>
      <c r="G178" t="inlineStr">
        <is>
          <t>SÖDERKÖPING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46216</v>
      </c>
      <c r="F179" t="inlineStr">
        <is>
          <t>ÖSTERGÖTLANDS LÄN</t>
        </is>
      </c>
      <c r="G179" t="inlineStr">
        <is>
          <t>SÖDERKÖPING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46216</v>
      </c>
      <c r="F180" t="inlineStr">
        <is>
          <t>ÖSTERGÖTLANDS LÄN</t>
        </is>
      </c>
      <c r="G180" t="inlineStr">
        <is>
          <t>SÖDERKÖPING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46216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9052-2026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46216</v>
      </c>
      <c r="F182" t="inlineStr">
        <is>
          <t>ÖSTERGÖTLANDS LÄN</t>
        </is>
      </c>
      <c r="G182" t="inlineStr">
        <is>
          <t>SÖDERKÖPING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44796</v>
      </c>
      <c r="E183" s="1" t="n">
        <v>46216</v>
      </c>
      <c r="F183" t="inlineStr">
        <is>
          <t>ÖSTERGÖTLANDS LÄN</t>
        </is>
      </c>
      <c r="G183" t="inlineStr">
        <is>
          <t>SÖDERKÖPING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15034-2024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45399</v>
      </c>
      <c r="E184" s="1" t="n">
        <v>46216</v>
      </c>
      <c r="F184" t="inlineStr">
        <is>
          <t>ÖSTERGÖTLANDS LÄN</t>
        </is>
      </c>
      <c r="G184" t="inlineStr">
        <is>
          <t>SÖDERKÖPING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46216</v>
      </c>
      <c r="F185" t="inlineStr">
        <is>
          <t>ÖSTERGÖTLANDS LÄN</t>
        </is>
      </c>
      <c r="G185" t="inlineStr">
        <is>
          <t>SÖDERKÖPING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69425-2021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44531</v>
      </c>
      <c r="E186" s="1" t="n">
        <v>46216</v>
      </c>
      <c r="F186" t="inlineStr">
        <is>
          <t>ÖSTERGÖTLANDS LÄN</t>
        </is>
      </c>
      <c r="G186" t="inlineStr">
        <is>
          <t>SÖDERKÖPING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61814-2025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46216</v>
      </c>
      <c r="F187" t="inlineStr">
        <is>
          <t>ÖSTERGÖTLANDS LÄN</t>
        </is>
      </c>
      <c r="G187" t="inlineStr">
        <is>
          <t>SÖDERKÖPING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61816-2025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46216</v>
      </c>
      <c r="F188" t="inlineStr">
        <is>
          <t>ÖSTERGÖTLANDS LÄN</t>
        </is>
      </c>
      <c r="G188" t="inlineStr">
        <is>
          <t>SÖDERKÖPING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61817-2025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46216</v>
      </c>
      <c r="F189" t="inlineStr">
        <is>
          <t>ÖSTERGÖTLANDS LÄN</t>
        </is>
      </c>
      <c r="G189" t="inlineStr">
        <is>
          <t>SÖDERKÖPING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61813-2025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46216</v>
      </c>
      <c r="F190" t="inlineStr">
        <is>
          <t>ÖSTERGÖTLANDS LÄN</t>
        </is>
      </c>
      <c r="G190" t="inlineStr">
        <is>
          <t>SÖDERKÖPING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46216</v>
      </c>
      <c r="F191" t="inlineStr">
        <is>
          <t>ÖSTERGÖTLANDS LÄN</t>
        </is>
      </c>
      <c r="G191" t="inlineStr">
        <is>
          <t>SÖDERKÖPING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11005-2026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46079</v>
      </c>
      <c r="E192" s="1" t="n">
        <v>46216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Kyrkan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46216</v>
      </c>
      <c r="F193" t="inlineStr">
        <is>
          <t>ÖSTERGÖTLANDS LÄN</t>
        </is>
      </c>
      <c r="G193" t="inlineStr">
        <is>
          <t>SÖDERKÖPING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46216</v>
      </c>
      <c r="F194" t="inlineStr">
        <is>
          <t>ÖSTERGÖTLANDS LÄN</t>
        </is>
      </c>
      <c r="G194" t="inlineStr">
        <is>
          <t>SÖDERKÖPING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46216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11616-2026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46216</v>
      </c>
      <c r="F196" t="inlineStr">
        <is>
          <t>ÖSTERGÖTLANDS LÄN</t>
        </is>
      </c>
      <c r="G196" t="inlineStr">
        <is>
          <t>SÖDERKÖPING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11619-2026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46216</v>
      </c>
      <c r="F197" t="inlineStr">
        <is>
          <t>ÖSTERGÖTLANDS LÄN</t>
        </is>
      </c>
      <c r="G197" t="inlineStr">
        <is>
          <t>SÖDERKÖPING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63236-2025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46216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Allmännings- och besparingsskogar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46216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Allmännings- och besparingsskogar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18794-2024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46216</v>
      </c>
      <c r="F200" t="inlineStr">
        <is>
          <t>ÖSTERGÖTLANDS LÄN</t>
        </is>
      </c>
      <c r="G200" t="inlineStr">
        <is>
          <t>SÖDERKÖPING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66362-2021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46216</v>
      </c>
      <c r="F201" t="inlineStr">
        <is>
          <t>ÖSTERGÖTLANDS LÄN</t>
        </is>
      </c>
      <c r="G201" t="inlineStr">
        <is>
          <t>SÖDERKÖPING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38646-2024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45546</v>
      </c>
      <c r="E202" s="1" t="n">
        <v>46216</v>
      </c>
      <c r="F202" t="inlineStr">
        <is>
          <t>ÖSTERGÖTLANDS LÄN</t>
        </is>
      </c>
      <c r="G202" t="inlineStr">
        <is>
          <t>SÖDERKÖPING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29514-2023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46216</v>
      </c>
      <c r="F203" t="inlineStr">
        <is>
          <t>ÖSTERGÖTLANDS LÄN</t>
        </is>
      </c>
      <c r="G203" t="inlineStr">
        <is>
          <t>SÖDERKÖPING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45457-2023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46216</v>
      </c>
      <c r="F204" t="inlineStr">
        <is>
          <t>ÖSTERGÖTLANDS LÄN</t>
        </is>
      </c>
      <c r="G204" t="inlineStr">
        <is>
          <t>SÖDERKÖPING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46216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49569-2022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46216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14777-2026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46216</v>
      </c>
      <c r="F207" t="inlineStr">
        <is>
          <t>ÖSTERGÖTLANDS LÄN</t>
        </is>
      </c>
      <c r="G207" t="inlineStr">
        <is>
          <t>SÖDERKÖPING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46216</v>
      </c>
      <c r="F208" t="inlineStr">
        <is>
          <t>ÖSTERGÖTLANDS LÄN</t>
        </is>
      </c>
      <c r="G208" t="inlineStr">
        <is>
          <t>SÖDERKÖPING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14776-2026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46101</v>
      </c>
      <c r="E209" s="1" t="n">
        <v>46216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44174-2023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46216</v>
      </c>
      <c r="F210" t="inlineStr">
        <is>
          <t>ÖSTERGÖTLANDS LÄN</t>
        </is>
      </c>
      <c r="G210" t="inlineStr">
        <is>
          <t>SÖDERKÖPING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50590-2024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46216</v>
      </c>
      <c r="F211" t="inlineStr">
        <is>
          <t>ÖSTERGÖTLANDS LÄN</t>
        </is>
      </c>
      <c r="G211" t="inlineStr">
        <is>
          <t>SÖDERKÖPING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15462-2026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46216</v>
      </c>
      <c r="F212" t="inlineStr">
        <is>
          <t>ÖSTERGÖTLANDS LÄN</t>
        </is>
      </c>
      <c r="G212" t="inlineStr">
        <is>
          <t>SÖDERKÖPING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46216</v>
      </c>
      <c r="F213" t="inlineStr">
        <is>
          <t>ÖSTERGÖTLANDS LÄN</t>
        </is>
      </c>
      <c r="G213" t="inlineStr">
        <is>
          <t>SÖDERKÖPING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58223-2022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46216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16246-2026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46216</v>
      </c>
      <c r="F215" t="inlineStr">
        <is>
          <t>ÖSTERGÖTLANDS LÄN</t>
        </is>
      </c>
      <c r="G215" t="inlineStr">
        <is>
          <t>SÖDERKÖPING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16248-2026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46216</v>
      </c>
      <c r="F216" t="inlineStr">
        <is>
          <t>ÖSTERGÖTLANDS LÄN</t>
        </is>
      </c>
      <c r="G216" t="inlineStr">
        <is>
          <t>SÖDERKÖPING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16319-2026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46216</v>
      </c>
      <c r="F217" t="inlineStr">
        <is>
          <t>ÖSTERGÖTLANDS LÄN</t>
        </is>
      </c>
      <c r="G217" t="inlineStr">
        <is>
          <t>SÖDERKÖPING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16254-2026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46216</v>
      </c>
      <c r="F218" t="inlineStr">
        <is>
          <t>ÖSTERGÖTLANDS LÄN</t>
        </is>
      </c>
      <c r="G218" t="inlineStr">
        <is>
          <t>SÖDERKÖPING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46216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46216</v>
      </c>
      <c r="F220" t="inlineStr">
        <is>
          <t>ÖSTERGÖTLANDS LÄN</t>
        </is>
      </c>
      <c r="G220" t="inlineStr">
        <is>
          <t>SÖDERKÖPING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9799-2023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46216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Allmännings- och besparingsskogar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37692-2023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46216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46216</v>
      </c>
      <c r="F223" t="inlineStr">
        <is>
          <t>ÖSTERGÖTLANDS LÄN</t>
        </is>
      </c>
      <c r="G223" t="inlineStr">
        <is>
          <t>SÖDERKÖPING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36734-2022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46216</v>
      </c>
      <c r="F224" t="inlineStr">
        <is>
          <t>ÖSTERGÖTLANDS LÄN</t>
        </is>
      </c>
      <c r="G224" t="inlineStr">
        <is>
          <t>SÖDERKÖPING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59876-2023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46216</v>
      </c>
      <c r="F225" t="inlineStr">
        <is>
          <t>ÖSTERGÖTLANDS LÄN</t>
        </is>
      </c>
      <c r="G225" t="inlineStr">
        <is>
          <t>SÖDERKÖPING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33735-2023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46216</v>
      </c>
      <c r="F226" t="inlineStr">
        <is>
          <t>ÖSTERGÖTLANDS LÄN</t>
        </is>
      </c>
      <c r="G226" t="inlineStr">
        <is>
          <t>SÖDERKÖPING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54787-2022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46216</v>
      </c>
      <c r="F227" t="inlineStr">
        <is>
          <t>ÖSTERGÖTLANDS LÄN</t>
        </is>
      </c>
      <c r="G227" t="inlineStr">
        <is>
          <t>SÖDERKÖPING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24875-2026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46216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46216</v>
      </c>
      <c r="F229" t="inlineStr">
        <is>
          <t>ÖSTERGÖTLANDS LÄN</t>
        </is>
      </c>
      <c r="G229" t="inlineStr">
        <is>
          <t>SÖDERKÖPING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44834-2023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46216</v>
      </c>
      <c r="F230" t="inlineStr">
        <is>
          <t>ÖSTERGÖTLANDS LÄN</t>
        </is>
      </c>
      <c r="G230" t="inlineStr">
        <is>
          <t>SÖDERKÖPING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19661-2026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46216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46216</v>
      </c>
      <c r="F232" t="inlineStr">
        <is>
          <t>ÖSTERGÖTLANDS LÄN</t>
        </is>
      </c>
      <c r="G232" t="inlineStr">
        <is>
          <t>SÖDERKÖPING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46216</v>
      </c>
      <c r="F233" t="inlineStr">
        <is>
          <t>ÖSTERGÖTLANDS LÄN</t>
        </is>
      </c>
      <c r="G233" t="inlineStr">
        <is>
          <t>SÖDERKÖPING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4491-2023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46216</v>
      </c>
      <c r="F234" t="inlineStr">
        <is>
          <t>ÖSTERGÖTLANDS LÄN</t>
        </is>
      </c>
      <c r="G234" t="inlineStr">
        <is>
          <t>SÖDERKÖPING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60640-2022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44911</v>
      </c>
      <c r="E235" s="1" t="n">
        <v>46216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10.8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64825-2023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46216</v>
      </c>
      <c r="F236" t="inlineStr">
        <is>
          <t>ÖSTERGÖTLANDS LÄN</t>
        </is>
      </c>
      <c r="G236" t="inlineStr">
        <is>
          <t>SÖDERKÖPING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66075-2021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46216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6535-2023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46216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21416-2025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46216</v>
      </c>
      <c r="F239" t="inlineStr">
        <is>
          <t>ÖSTERGÖTLANDS LÄN</t>
        </is>
      </c>
      <c r="G239" t="inlineStr">
        <is>
          <t>SÖDERKÖPING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8799-2023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46216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20262-2026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46216</v>
      </c>
      <c r="F241" t="inlineStr">
        <is>
          <t>ÖSTERGÖTLANDS LÄN</t>
        </is>
      </c>
      <c r="G241" t="inlineStr">
        <is>
          <t>SÖDERKÖPING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9734-2023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46216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Allmännings- och besparingsskogar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50050-2023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45215</v>
      </c>
      <c r="E243" s="1" t="n">
        <v>46216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46742-2025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46216</v>
      </c>
      <c r="F244" t="inlineStr">
        <is>
          <t>ÖSTERGÖTLANDS LÄN</t>
        </is>
      </c>
      <c r="G244" t="inlineStr">
        <is>
          <t>SÖDERKÖPING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47368-2021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44447</v>
      </c>
      <c r="E245" s="1" t="n">
        <v>46216</v>
      </c>
      <c r="F245" t="inlineStr">
        <is>
          <t>ÖSTERGÖTLANDS LÄN</t>
        </is>
      </c>
      <c r="G245" t="inlineStr">
        <is>
          <t>SÖDERKÖPING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20776-2023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46216</v>
      </c>
      <c r="F246" t="inlineStr">
        <is>
          <t>ÖSTERGÖTLANDS LÄN</t>
        </is>
      </c>
      <c r="G246" t="inlineStr">
        <is>
          <t>SÖDERKÖPING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46216</v>
      </c>
      <c r="F247" t="inlineStr">
        <is>
          <t>ÖSTERGÖTLANDS LÄN</t>
        </is>
      </c>
      <c r="G247" t="inlineStr">
        <is>
          <t>SÖDERKÖPING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46781-2025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46216</v>
      </c>
      <c r="F248" t="inlineStr">
        <is>
          <t>ÖSTERGÖTLANDS LÄN</t>
        </is>
      </c>
      <c r="G248" t="inlineStr">
        <is>
          <t>SÖDERKÖPING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20258-2026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46216</v>
      </c>
      <c r="F249" t="inlineStr">
        <is>
          <t>ÖSTERGÖTLANDS LÄN</t>
        </is>
      </c>
      <c r="G249" t="inlineStr">
        <is>
          <t>SÖDERKÖPING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46216</v>
      </c>
      <c r="F250" t="inlineStr">
        <is>
          <t>ÖSTERGÖTLANDS LÄN</t>
        </is>
      </c>
      <c r="G250" t="inlineStr">
        <is>
          <t>SÖDERKÖPING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19974-2026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46216</v>
      </c>
      <c r="F251" t="inlineStr">
        <is>
          <t>ÖSTERGÖTLANDS LÄN</t>
        </is>
      </c>
      <c r="G251" t="inlineStr">
        <is>
          <t>SÖDERKÖPING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7208-2024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45344</v>
      </c>
      <c r="E252" s="1" t="n">
        <v>46216</v>
      </c>
      <c r="F252" t="inlineStr">
        <is>
          <t>ÖSTERGÖTLANDS LÄN</t>
        </is>
      </c>
      <c r="G252" t="inlineStr">
        <is>
          <t>SÖDERKÖPING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20265-2026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46216</v>
      </c>
      <c r="F253" t="inlineStr">
        <is>
          <t>ÖSTERGÖTLANDS LÄN</t>
        </is>
      </c>
      <c r="G253" t="inlineStr">
        <is>
          <t>SÖDERKÖPING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13055-2025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45734</v>
      </c>
      <c r="E254" s="1" t="n">
        <v>46216</v>
      </c>
      <c r="F254" t="inlineStr">
        <is>
          <t>ÖSTERGÖTLANDS LÄN</t>
        </is>
      </c>
      <c r="G254" t="inlineStr">
        <is>
          <t>SÖDERKÖPING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20783-2023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46216</v>
      </c>
      <c r="F255" t="inlineStr">
        <is>
          <t>ÖSTERGÖTLANDS LÄN</t>
        </is>
      </c>
      <c r="G255" t="inlineStr">
        <is>
          <t>SÖDERKÖPING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20301-2026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46216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46216</v>
      </c>
      <c r="F257" t="inlineStr">
        <is>
          <t>ÖSTERGÖTLANDS LÄN</t>
        </is>
      </c>
      <c r="G257" t="inlineStr">
        <is>
          <t>SÖDERKÖPING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21901-2022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44711</v>
      </c>
      <c r="E258" s="1" t="n">
        <v>46216</v>
      </c>
      <c r="F258" t="inlineStr">
        <is>
          <t>ÖSTERGÖTLANDS LÄN</t>
        </is>
      </c>
      <c r="G258" t="inlineStr">
        <is>
          <t>SÖDERKÖPING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20684-2026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46216</v>
      </c>
      <c r="F259" t="inlineStr">
        <is>
          <t>ÖSTERGÖTLANDS LÄN</t>
        </is>
      </c>
      <c r="G259" t="inlineStr">
        <is>
          <t>SÖDERKÖPING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50870-2023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46216</v>
      </c>
      <c r="F260" t="inlineStr">
        <is>
          <t>ÖSTERGÖTLANDS LÄN</t>
        </is>
      </c>
      <c r="G260" t="inlineStr">
        <is>
          <t>SÖDERKÖPING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26576-2026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46216</v>
      </c>
      <c r="F261" t="inlineStr">
        <is>
          <t>ÖSTERGÖTLANDS LÄN</t>
        </is>
      </c>
      <c r="G261" t="inlineStr">
        <is>
          <t>SÖDERKÖPING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26439-2026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46183</v>
      </c>
      <c r="E262" s="1" t="n">
        <v>46216</v>
      </c>
      <c r="F262" t="inlineStr">
        <is>
          <t>ÖSTERGÖTLANDS LÄN</t>
        </is>
      </c>
      <c r="G262" t="inlineStr">
        <is>
          <t>SÖDERKÖPING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20688-2026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46216</v>
      </c>
      <c r="F263" t="inlineStr">
        <is>
          <t>ÖSTERGÖTLANDS LÄN</t>
        </is>
      </c>
      <c r="G263" t="inlineStr">
        <is>
          <t>SÖDERKÖPING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26554-2026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46216</v>
      </c>
      <c r="F264" t="inlineStr">
        <is>
          <t>ÖSTERGÖTLANDS LÄN</t>
        </is>
      </c>
      <c r="G264" t="inlineStr">
        <is>
          <t>SÖDERKÖPING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26550-2026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46216</v>
      </c>
      <c r="F265" t="inlineStr">
        <is>
          <t>ÖSTERGÖTLANDS LÄN</t>
        </is>
      </c>
      <c r="G265" t="inlineStr">
        <is>
          <t>SÖDERKÖPING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34979-2025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46216</v>
      </c>
      <c r="F266" t="inlineStr">
        <is>
          <t>ÖSTERGÖTLANDS LÄN</t>
        </is>
      </c>
      <c r="G266" t="inlineStr">
        <is>
          <t>SÖDERKÖPING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26573-2026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46216</v>
      </c>
      <c r="F267" t="inlineStr">
        <is>
          <t>ÖSTERGÖTLANDS LÄN</t>
        </is>
      </c>
      <c r="G267" t="inlineStr">
        <is>
          <t>SÖDERKÖPING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26582-2026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46216</v>
      </c>
      <c r="F268" t="inlineStr">
        <is>
          <t>ÖSTERGÖTLANDS LÄN</t>
        </is>
      </c>
      <c r="G268" t="inlineStr">
        <is>
          <t>SÖDERKÖPING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46216</v>
      </c>
      <c r="F269" t="inlineStr">
        <is>
          <t>ÖSTERGÖTLANDS LÄN</t>
        </is>
      </c>
      <c r="G269" t="inlineStr">
        <is>
          <t>SÖDERKÖPING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44618</v>
      </c>
      <c r="E270" s="1" t="n">
        <v>46216</v>
      </c>
      <c r="F270" t="inlineStr">
        <is>
          <t>ÖSTERGÖTLANDS LÄN</t>
        </is>
      </c>
      <c r="G270" t="inlineStr">
        <is>
          <t>SÖDERKÖPING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46216</v>
      </c>
      <c r="F271" t="inlineStr">
        <is>
          <t>ÖSTERGÖTLANDS LÄN</t>
        </is>
      </c>
      <c r="G271" t="inlineStr">
        <is>
          <t>SÖDERKÖPING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20705-2026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46216</v>
      </c>
      <c r="F272" t="inlineStr">
        <is>
          <t>ÖSTERGÖTLANDS LÄN</t>
        </is>
      </c>
      <c r="G272" t="inlineStr">
        <is>
          <t>SÖDERKÖPING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45293</v>
      </c>
      <c r="E273" s="1" t="n">
        <v>46216</v>
      </c>
      <c r="F273" t="inlineStr">
        <is>
          <t>ÖSTERGÖTLANDS LÄN</t>
        </is>
      </c>
      <c r="G273" t="inlineStr">
        <is>
          <t>SÖDERKÖPING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42753-2023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46216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53889-2021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44469</v>
      </c>
      <c r="E275" s="1" t="n">
        <v>46216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48555-2023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45208</v>
      </c>
      <c r="E276" s="1" t="n">
        <v>46216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46216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46216</v>
      </c>
      <c r="F278" t="inlineStr">
        <is>
          <t>ÖSTERGÖTLANDS LÄN</t>
        </is>
      </c>
      <c r="G278" t="inlineStr">
        <is>
          <t>SÖDERKÖPING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43889-2023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46216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43891-2023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46216</v>
      </c>
      <c r="F280" t="inlineStr">
        <is>
          <t>ÖSTERGÖTLANDS LÄN</t>
        </is>
      </c>
      <c r="G280" t="inlineStr">
        <is>
          <t>SÖDERKÖPING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45295</v>
      </c>
      <c r="E281" s="1" t="n">
        <v>46216</v>
      </c>
      <c r="F281" t="inlineStr">
        <is>
          <t>ÖSTERGÖTLANDS LÄN</t>
        </is>
      </c>
      <c r="G281" t="inlineStr">
        <is>
          <t>SÖDERKÖPING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6546-2023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46216</v>
      </c>
      <c r="F282" t="inlineStr">
        <is>
          <t>ÖSTERGÖTLANDS LÄN</t>
        </is>
      </c>
      <c r="G282" t="inlineStr">
        <is>
          <t>SÖDERKÖPING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22208-2026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46216</v>
      </c>
      <c r="F283" t="inlineStr">
        <is>
          <t>ÖSTERGÖTLANDS LÄN</t>
        </is>
      </c>
      <c r="G283" t="inlineStr">
        <is>
          <t>SÖDERKÖPING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21903-2026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46216</v>
      </c>
      <c r="F284" t="inlineStr">
        <is>
          <t>ÖSTERGÖTLANDS LÄN</t>
        </is>
      </c>
      <c r="G284" t="inlineStr">
        <is>
          <t>SÖDERKÖPING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20967-2023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46216</v>
      </c>
      <c r="F285" t="inlineStr">
        <is>
          <t>ÖSTERGÖTLANDS LÄN</t>
        </is>
      </c>
      <c r="G285" t="inlineStr">
        <is>
          <t>SÖDERKÖPING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21893-2026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46216</v>
      </c>
      <c r="F286" t="inlineStr">
        <is>
          <t>ÖSTERGÖTLANDS LÄN</t>
        </is>
      </c>
      <c r="G286" t="inlineStr">
        <is>
          <t>SÖDERKÖPING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46216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Allmännings- och besparingsskogar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21898-2026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46150</v>
      </c>
      <c r="E288" s="1" t="n">
        <v>46216</v>
      </c>
      <c r="F288" t="inlineStr">
        <is>
          <t>ÖSTERGÖTLANDS LÄN</t>
        </is>
      </c>
      <c r="G288" t="inlineStr">
        <is>
          <t>SÖDERKÖPING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46216</v>
      </c>
      <c r="F289" t="inlineStr">
        <is>
          <t>ÖSTERGÖTLANDS LÄN</t>
        </is>
      </c>
      <c r="G289" t="inlineStr">
        <is>
          <t>SÖDERKÖPING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50040-2023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45215</v>
      </c>
      <c r="E290" s="1" t="n">
        <v>46216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Kyrkan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28383-2026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46216</v>
      </c>
      <c r="F291" t="inlineStr">
        <is>
          <t>ÖSTERGÖTLANDS LÄN</t>
        </is>
      </c>
      <c r="G291" t="inlineStr">
        <is>
          <t>SÖDERKÖPING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46216</v>
      </c>
      <c r="F292" t="inlineStr">
        <is>
          <t>ÖSTERGÖTLANDS LÄN</t>
        </is>
      </c>
      <c r="G292" t="inlineStr">
        <is>
          <t>SÖDERKÖPING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22471-2026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46155</v>
      </c>
      <c r="E293" s="1" t="n">
        <v>46216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Kommuner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30114-2024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45489</v>
      </c>
      <c r="E294" s="1" t="n">
        <v>46216</v>
      </c>
      <c r="F294" t="inlineStr">
        <is>
          <t>ÖSTERGÖTLANDS LÄN</t>
        </is>
      </c>
      <c r="G294" t="inlineStr">
        <is>
          <t>SÖDERKÖPING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56213-2022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44890</v>
      </c>
      <c r="E295" s="1" t="n">
        <v>46216</v>
      </c>
      <c r="F295" t="inlineStr">
        <is>
          <t>ÖSTERGÖTLANDS LÄN</t>
        </is>
      </c>
      <c r="G295" t="inlineStr">
        <is>
          <t>SÖDERKÖPING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22482-2026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46216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Kommuner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55772-2023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46216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45055</v>
      </c>
      <c r="E298" s="1" t="n">
        <v>46216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20253-2023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46216</v>
      </c>
      <c r="F299" t="inlineStr">
        <is>
          <t>ÖSTERGÖTLANDS LÄN</t>
        </is>
      </c>
      <c r="G299" t="inlineStr">
        <is>
          <t>SÖDERKÖPING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40357-2023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46216</v>
      </c>
      <c r="F300" t="inlineStr">
        <is>
          <t>ÖSTERGÖTLANDS LÄN</t>
        </is>
      </c>
      <c r="G300" t="inlineStr">
        <is>
          <t>SÖDERKÖPING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45692</v>
      </c>
      <c r="E301" s="1" t="n">
        <v>46216</v>
      </c>
      <c r="F301" t="inlineStr">
        <is>
          <t>ÖSTERGÖTLANDS LÄN</t>
        </is>
      </c>
      <c r="G301" t="inlineStr">
        <is>
          <t>SÖDERKÖPING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23120-2026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46216</v>
      </c>
      <c r="F302" t="inlineStr">
        <is>
          <t>ÖSTERGÖTLANDS LÄN</t>
        </is>
      </c>
      <c r="G302" t="inlineStr">
        <is>
          <t>SÖDERKÖPING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46216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42673-2023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45181</v>
      </c>
      <c r="E304" s="1" t="n">
        <v>46216</v>
      </c>
      <c r="F304" t="inlineStr">
        <is>
          <t>ÖSTERGÖTLANDS LÄN</t>
        </is>
      </c>
      <c r="G304" t="inlineStr">
        <is>
          <t>SÖDERKÖPING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47419-2024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45586</v>
      </c>
      <c r="E305" s="1" t="n">
        <v>46216</v>
      </c>
      <c r="F305" t="inlineStr">
        <is>
          <t>ÖSTERGÖTLANDS LÄN</t>
        </is>
      </c>
      <c r="G305" t="inlineStr">
        <is>
          <t>SÖDERKÖPING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46216</v>
      </c>
      <c r="F306" t="inlineStr">
        <is>
          <t>ÖSTERGÖTLANDS LÄN</t>
        </is>
      </c>
      <c r="G306" t="inlineStr">
        <is>
          <t>SÖDERKÖPING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23518-2026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46216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Allmännings- och besparingsskogar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44965</v>
      </c>
      <c r="E308" s="1" t="n">
        <v>46216</v>
      </c>
      <c r="F308" t="inlineStr">
        <is>
          <t>ÖSTERGÖTLANDS LÄN</t>
        </is>
      </c>
      <c r="G308" t="inlineStr">
        <is>
          <t>SÖDERKÖPING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13802-2025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46216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Holmen skog AB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41958-2023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46216</v>
      </c>
      <c r="F310" t="inlineStr">
        <is>
          <t>ÖSTERGÖTLANDS LÄN</t>
        </is>
      </c>
      <c r="G310" t="inlineStr">
        <is>
          <t>SÖDERKÖPING</t>
        </is>
      </c>
      <c r="I310" t="n">
        <v>15.3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1247-2022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44572</v>
      </c>
      <c r="E311" s="1" t="n">
        <v>46216</v>
      </c>
      <c r="F311" t="inlineStr">
        <is>
          <t>ÖSTERGÖTLANDS LÄN</t>
        </is>
      </c>
      <c r="G311" t="inlineStr">
        <is>
          <t>SÖDERKÖPING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5072-2022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44593</v>
      </c>
      <c r="E312" s="1" t="n">
        <v>46216</v>
      </c>
      <c r="F312" t="inlineStr">
        <is>
          <t>ÖSTERGÖTLANDS LÄN</t>
        </is>
      </c>
      <c r="G312" t="inlineStr">
        <is>
          <t>SÖDERKÖPING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13889-2025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46216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29374-2022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44753</v>
      </c>
      <c r="E314" s="1" t="n">
        <v>46216</v>
      </c>
      <c r="F314" t="inlineStr">
        <is>
          <t>ÖSTERGÖTLANDS LÄN</t>
        </is>
      </c>
      <c r="G314" t="inlineStr">
        <is>
          <t>SÖDERKÖPING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30247-2026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46216</v>
      </c>
      <c r="F315" t="inlineStr">
        <is>
          <t>ÖSTERGÖTLANDS LÄN</t>
        </is>
      </c>
      <c r="G315" t="inlineStr">
        <is>
          <t>SÖDERKÖPING</t>
        </is>
      </c>
      <c r="I315" t="n">
        <v>18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46216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46216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46216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46216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12708-2024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46216</v>
      </c>
      <c r="F320" t="inlineStr">
        <is>
          <t>ÖSTERGÖTLANDS LÄN</t>
        </is>
      </c>
      <c r="G320" t="inlineStr">
        <is>
          <t>SÖDERKÖPING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27598-2023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46216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55853-2022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46216</v>
      </c>
      <c r="F322" t="inlineStr">
        <is>
          <t>ÖSTERGÖTLANDS LÄN</t>
        </is>
      </c>
      <c r="G322" t="inlineStr">
        <is>
          <t>SÖDERKÖPING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45476-2023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46216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24726-2026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46216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42358-2023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45180</v>
      </c>
      <c r="E325" s="1" t="n">
        <v>46216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Allmännings- och besparingsskogar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45687</v>
      </c>
      <c r="E326" s="1" t="n">
        <v>46216</v>
      </c>
      <c r="F326" t="inlineStr">
        <is>
          <t>ÖSTERGÖTLANDS LÄN</t>
        </is>
      </c>
      <c r="G326" t="inlineStr">
        <is>
          <t>SÖDERKÖPING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7902-2025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45707</v>
      </c>
      <c r="E327" s="1" t="n">
        <v>46216</v>
      </c>
      <c r="F327" t="inlineStr">
        <is>
          <t>ÖSTERGÖTLANDS LÄN</t>
        </is>
      </c>
      <c r="G327" t="inlineStr">
        <is>
          <t>SÖDERKÖPING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24690-2026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46216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46417-2023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46216</v>
      </c>
      <c r="F329" t="inlineStr">
        <is>
          <t>ÖSTERGÖTLANDS LÄN</t>
        </is>
      </c>
      <c r="G329" t="inlineStr">
        <is>
          <t>SÖDERKÖPING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20254-2023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45055</v>
      </c>
      <c r="E330" s="1" t="n">
        <v>46216</v>
      </c>
      <c r="F330" t="inlineStr">
        <is>
          <t>ÖSTERGÖTLANDS LÄN</t>
        </is>
      </c>
      <c r="G330" t="inlineStr">
        <is>
          <t>SÖDERKÖPING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45297</v>
      </c>
      <c r="E331" s="1" t="n">
        <v>46216</v>
      </c>
      <c r="F331" t="inlineStr">
        <is>
          <t>ÖSTERGÖTLANDS LÄN</t>
        </is>
      </c>
      <c r="G331" t="inlineStr">
        <is>
          <t>SÖDERKÖPING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22512-2024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45447</v>
      </c>
      <c r="E332" s="1" t="n">
        <v>46216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Kommuner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7071-2025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46216</v>
      </c>
      <c r="F333" t="inlineStr">
        <is>
          <t>ÖSTERGÖTLANDS LÄN</t>
        </is>
      </c>
      <c r="G333" t="inlineStr">
        <is>
          <t>SÖDERKÖPING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13865-2025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46216</v>
      </c>
      <c r="F334" t="inlineStr">
        <is>
          <t>ÖSTERGÖTLANDS LÄN</t>
        </is>
      </c>
      <c r="G334" t="inlineStr">
        <is>
          <t>SÖDERKÖPING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13920-2025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46216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Holmen skog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46216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9729-2023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44984</v>
      </c>
      <c r="E337" s="1" t="n">
        <v>46216</v>
      </c>
      <c r="F337" t="inlineStr">
        <is>
          <t>ÖSTERGÖTLANDS LÄN</t>
        </is>
      </c>
      <c r="G337" t="inlineStr">
        <is>
          <t>SÖDERKÖPING</t>
        </is>
      </c>
      <c r="I337" t="n">
        <v>13.8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51746-2023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46216</v>
      </c>
      <c r="F338" t="inlineStr">
        <is>
          <t>ÖSTERGÖTLANDS LÄN</t>
        </is>
      </c>
      <c r="G338" t="inlineStr">
        <is>
          <t>SÖDERKÖPING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31315-2024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45504</v>
      </c>
      <c r="E339" s="1" t="n">
        <v>46216</v>
      </c>
      <c r="F339" t="inlineStr">
        <is>
          <t>ÖSTERGÖTLANDS LÄN</t>
        </is>
      </c>
      <c r="G339" t="inlineStr">
        <is>
          <t>SÖDERKÖPING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31312-2024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45504</v>
      </c>
      <c r="E340" s="1" t="n">
        <v>46216</v>
      </c>
      <c r="F340" t="inlineStr">
        <is>
          <t>ÖSTERGÖTLANDS LÄN</t>
        </is>
      </c>
      <c r="G340" t="inlineStr">
        <is>
          <t>SÖDERKÖPING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20310-2024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45435</v>
      </c>
      <c r="E341" s="1" t="n">
        <v>46216</v>
      </c>
      <c r="F341" t="inlineStr">
        <is>
          <t>ÖSTERGÖTLANDS LÄN</t>
        </is>
      </c>
      <c r="G341" t="inlineStr">
        <is>
          <t>SÖDERKÖPING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50574-2024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45601</v>
      </c>
      <c r="E342" s="1" t="n">
        <v>46216</v>
      </c>
      <c r="F342" t="inlineStr">
        <is>
          <t>ÖSTERGÖTLANDS LÄN</t>
        </is>
      </c>
      <c r="G342" t="inlineStr">
        <is>
          <t>SÖDERKÖPING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46216</v>
      </c>
      <c r="F343" t="inlineStr">
        <is>
          <t>ÖSTERGÖTLANDS LÄN</t>
        </is>
      </c>
      <c r="G343" t="inlineStr">
        <is>
          <t>SÖDERKÖPING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46216</v>
      </c>
      <c r="F344" t="inlineStr">
        <is>
          <t>ÖSTERGÖTLANDS LÄN</t>
        </is>
      </c>
      <c r="G344" t="inlineStr">
        <is>
          <t>SÖDERKÖPING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31314-2024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45504</v>
      </c>
      <c r="E345" s="1" t="n">
        <v>46216</v>
      </c>
      <c r="F345" t="inlineStr">
        <is>
          <t>ÖSTERGÖTLANDS LÄN</t>
        </is>
      </c>
      <c r="G345" t="inlineStr">
        <is>
          <t>SÖDERKÖPING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43495-2023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45184</v>
      </c>
      <c r="E346" s="1" t="n">
        <v>46216</v>
      </c>
      <c r="F346" t="inlineStr">
        <is>
          <t>ÖSTERGÖTLANDS LÄN</t>
        </is>
      </c>
      <c r="G346" t="inlineStr">
        <is>
          <t>SÖDERKÖPING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22918-2025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46216</v>
      </c>
      <c r="F347" t="inlineStr">
        <is>
          <t>ÖSTERGÖTLANDS LÄN</t>
        </is>
      </c>
      <c r="G347" t="inlineStr">
        <is>
          <t>SÖDERKÖPING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46216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46216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24355-2025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46216</v>
      </c>
      <c r="F350" t="inlineStr">
        <is>
          <t>ÖSTERGÖTLANDS LÄN</t>
        </is>
      </c>
      <c r="G350" t="inlineStr">
        <is>
          <t>SÖDERKÖPING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24344-2025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46216</v>
      </c>
      <c r="F351" t="inlineStr">
        <is>
          <t>ÖSTERGÖTLANDS LÄN</t>
        </is>
      </c>
      <c r="G351" t="inlineStr">
        <is>
          <t>SÖDERKÖPING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46216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46216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46216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46216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46216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46216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2026-07-13T14:51:13Z</dcterms:created>
  <dcterms:modified xmlns:dcterms="http://purl.org/dc/terms/" xmlns:xsi="http://www.w3.org/2001/XMLSchema-instance" xsi:type="dcterms:W3CDTF">2026-07-13T14:51:13Z</dcterms:modified>
</cp:coreProperties>
</file>