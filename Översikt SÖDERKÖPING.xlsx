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46303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46303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46303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46303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46303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46303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46303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46303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46303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46303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46303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46303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46303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46303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46303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394-2026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46028</v>
      </c>
      <c r="E22" s="1" t="n">
        <v>46303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Igelkottsröksvamp</t>
        </is>
      </c>
      <c r="W22">
        <f>HYPERLINK("https://klasma.github.io/Logging_0582/artfynd/A 394-2026 artfynd.xlsx", "A 394-2026")</f>
        <v/>
      </c>
      <c r="X22">
        <f>HYPERLINK("https://klasma.github.io/Logging_0582/kartor/A 394-2026 karta.png", "A 394-2026")</f>
        <v/>
      </c>
      <c r="Y22">
        <f>HYPERLINK("https://klasma.github.io/Logging_0582/kartor_geotiff/A 394-2026 georefererad karta.tif", "A 394-2026")</f>
        <v/>
      </c>
      <c r="AA22">
        <f>HYPERLINK("https://klasma.github.io/Logging_0582/klagomål/A 394-2026 FSC-klagomål.docx", "A 394-2026")</f>
        <v/>
      </c>
      <c r="AB22">
        <f>HYPERLINK("https://klasma.github.io/Logging_0582/klagomålsmail/A 394-2026 FSC-klagomål mail.docx", "A 394-2026")</f>
        <v/>
      </c>
      <c r="AC22">
        <f>HYPERLINK("https://klasma.github.io/Logging_0582/tillsyn/A 394-2026 tillsynsbegäran.docx", "A 394-2026")</f>
        <v/>
      </c>
      <c r="AD22">
        <f>HYPERLINK("https://klasma.github.io/Logging_0582/tillsynsmail/A 394-2026 tillsynsbegäran mail.docx", "A 394-2026")</f>
        <v/>
      </c>
    </row>
    <row r="23" ht="15" customHeight="1">
      <c r="A23" t="inlineStr">
        <is>
          <t>A 7847-2026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46303</v>
      </c>
      <c r="F23" t="inlineStr">
        <is>
          <t>ÖSTERGÖTLANDS LÄN</t>
        </is>
      </c>
      <c r="G23" t="inlineStr">
        <is>
          <t>SÖDERKÖPING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Huggorm
Vanlig snok</t>
        </is>
      </c>
      <c r="W23">
        <f>HYPERLINK("https://klasma.github.io/Logging_0582/artfynd/A 7847-2026 artfynd.xlsx", "A 7847-2026")</f>
        <v/>
      </c>
      <c r="X23">
        <f>HYPERLINK("https://klasma.github.io/Logging_0582/kartor/A 7847-2026 karta.png", "A 7847-2026")</f>
        <v/>
      </c>
      <c r="Y23">
        <f>HYPERLINK("https://klasma.github.io/Logging_0582/kartor_geotiff/A 7847-2026 georefererad karta.tif", "A 7847-2026")</f>
        <v/>
      </c>
      <c r="AA23">
        <f>HYPERLINK("https://klasma.github.io/Logging_0582/klagomål/A 7847-2026 FSC-klagomål.docx", "A 7847-2026")</f>
        <v/>
      </c>
      <c r="AB23">
        <f>HYPERLINK("https://klasma.github.io/Logging_0582/klagomålsmail/A 7847-2026 FSC-klagomål mail.docx", "A 7847-2026")</f>
        <v/>
      </c>
      <c r="AC23">
        <f>HYPERLINK("https://klasma.github.io/Logging_0582/tillsyn/A 7847-2026 tillsynsbegäran.docx", "A 7847-2026")</f>
        <v/>
      </c>
      <c r="AD23">
        <f>HYPERLINK("https://klasma.github.io/Logging_0582/tillsynsmail/A 7847-2026 tillsynsbegäran mail.docx", "A 7847-2026")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46303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46303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30324-2024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45490</v>
      </c>
      <c r="E26" s="1" t="n">
        <v>46303</v>
      </c>
      <c r="F26" t="inlineStr">
        <is>
          <t>ÖSTERGÖTLANDS LÄN</t>
        </is>
      </c>
      <c r="G26" t="inlineStr">
        <is>
          <t>SÖDERKÖPING</t>
        </is>
      </c>
      <c r="I26" t="n">
        <v>10.9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Nattskärra</t>
        </is>
      </c>
      <c r="W26">
        <f>HYPERLINK("https://klasma.github.io/Logging_0582/artfynd/A 30324-2024 artfynd.xlsx", "A 30324-2024")</f>
        <v/>
      </c>
      <c r="X26">
        <f>HYPERLINK("https://klasma.github.io/Logging_0582/kartor/A 30324-2024 karta.png", "A 30324-2024")</f>
        <v/>
      </c>
      <c r="Y26">
        <f>HYPERLINK("https://klasma.github.io/Logging_0582/kartor_geotiff/A 30324-2024 georefererad karta.tif", "A 30324-2024")</f>
        <v/>
      </c>
      <c r="AA26">
        <f>HYPERLINK("https://klasma.github.io/Logging_0582/klagomål/A 30324-2024 FSC-klagomål.docx", "A 30324-2024")</f>
        <v/>
      </c>
      <c r="AB26">
        <f>HYPERLINK("https://klasma.github.io/Logging_0582/klagomålsmail/A 30324-2024 FSC-klagomål mail.docx", "A 30324-2024")</f>
        <v/>
      </c>
      <c r="AC26">
        <f>HYPERLINK("https://klasma.github.io/Logging_0582/tillsyn/A 30324-2024 tillsynsbegäran.docx", "A 30324-2024")</f>
        <v/>
      </c>
      <c r="AD26">
        <f>HYPERLINK("https://klasma.github.io/Logging_0582/tillsynsmail/A 30324-2024 tillsynsbegäran mail.docx", "A 30324-2024")</f>
        <v/>
      </c>
      <c r="AE26">
        <f>HYPERLINK("https://klasma.github.io/Logging_0582/fåglar/A 30324-2024 prioriterade fågelarter.docx", "A 30324-2024")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46303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22512-2024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46303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Kommuner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Skogsstjärna</t>
        </is>
      </c>
      <c r="W28">
        <f>HYPERLINK("https://klasma.github.io/Logging_0582/artfynd/A 22512-2024 artfynd.xlsx", "A 22512-2024")</f>
        <v/>
      </c>
      <c r="X28">
        <f>HYPERLINK("https://klasma.github.io/Logging_0582/kartor/A 22512-2024 karta.png", "A 22512-2024")</f>
        <v/>
      </c>
      <c r="Y28">
        <f>HYPERLINK("https://klasma.github.io/Logging_0582/kartor_geotiff/A 22512-2024 georefererad karta.tif", "A 22512-2024")</f>
        <v/>
      </c>
      <c r="AA28">
        <f>HYPERLINK("https://klasma.github.io/Logging_0582/klagomål/A 22512-2024 FSC-klagomål.docx", "A 22512-2024")</f>
        <v/>
      </c>
      <c r="AB28">
        <f>HYPERLINK("https://klasma.github.io/Logging_0582/klagomålsmail/A 22512-2024 FSC-klagomål mail.docx", "A 22512-2024")</f>
        <v/>
      </c>
      <c r="AC28">
        <f>HYPERLINK("https://klasma.github.io/Logging_0582/tillsyn/A 22512-2024 tillsynsbegäran.docx", "A 22512-2024")</f>
        <v/>
      </c>
      <c r="AD28">
        <f>HYPERLINK("https://klasma.github.io/Logging_0582/tillsynsmail/A 22512-2024 tillsynsbegäran mail.docx", "A 22512-2024")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46303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46303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46303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46303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46303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38709-2026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46283</v>
      </c>
      <c r="E34" s="1" t="n">
        <v>46303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Allmännings- och besparingsskogar</t>
        </is>
      </c>
      <c r="I34" t="n">
        <v>9.5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HYPERLINK("https://klasma.github.io/Logging_0582/artfynd/A 38709-2026 artfynd.xlsx", "A 38709-2026")</f>
        <v/>
      </c>
      <c r="X34">
        <f>HYPERLINK("https://klasma.github.io/Logging_0582/kartor/A 38709-2026 karta.png", "A 38709-2026")</f>
        <v/>
      </c>
      <c r="Y34">
        <f>HYPERLINK("https://klasma.github.io/Logging_0582/kartor_geotiff/A 38709-2026 georefererad karta.tif", "A 38709-2026")</f>
        <v/>
      </c>
      <c r="AA34">
        <f>HYPERLINK("https://klasma.github.io/Logging_0582/klagomål/A 38709-2026 FSC-klagomål.docx", "A 38709-2026")</f>
        <v/>
      </c>
      <c r="AB34">
        <f>HYPERLINK("https://klasma.github.io/Logging_0582/klagomålsmail/A 38709-2026 FSC-klagomål mail.docx", "A 38709-2026")</f>
        <v/>
      </c>
      <c r="AC34">
        <f>HYPERLINK("https://klasma.github.io/Logging_0582/tillsyn/A 38709-2026 tillsynsbegäran.docx", "A 38709-2026")</f>
        <v/>
      </c>
      <c r="AD34">
        <f>HYPERLINK("https://klasma.github.io/Logging_0582/tillsynsmail/A 38709-2026 tillsynsbegäran mail.docx", "A 38709-2026")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46303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46303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46303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46303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46303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46303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46303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46303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46303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46303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46303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46303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46303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46303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46303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46303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46303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46303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46303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46303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46303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46303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46303</v>
      </c>
      <c r="F57" t="inlineStr">
        <is>
          <t>ÖSTERGÖTLANDS LÄN</t>
        </is>
      </c>
      <c r="G57" t="inlineStr">
        <is>
          <t>SÖDERKÖPING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46303</v>
      </c>
      <c r="F58" t="inlineStr">
        <is>
          <t>ÖSTERGÖTLANDS LÄN</t>
        </is>
      </c>
      <c r="G58" t="inlineStr">
        <is>
          <t>SÖDERKÖPING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46303</v>
      </c>
      <c r="F59" t="inlineStr">
        <is>
          <t>ÖSTERGÖTLANDS LÄN</t>
        </is>
      </c>
      <c r="G59" t="inlineStr">
        <is>
          <t>SÖDERKÖPING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46303</v>
      </c>
      <c r="F60" t="inlineStr">
        <is>
          <t>ÖSTERGÖTLANDS LÄN</t>
        </is>
      </c>
      <c r="G60" t="inlineStr">
        <is>
          <t>SÖDERKÖPING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46303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Holmen skog AB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50050-2023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45215</v>
      </c>
      <c r="E62" s="1" t="n">
        <v>46303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46303</v>
      </c>
      <c r="F63" t="inlineStr">
        <is>
          <t>ÖSTERGÖTLANDS LÄN</t>
        </is>
      </c>
      <c r="G63" t="inlineStr">
        <is>
          <t>SÖDERKÖPING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46303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71426-2021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44540</v>
      </c>
      <c r="E65" s="1" t="n">
        <v>46303</v>
      </c>
      <c r="F65" t="inlineStr">
        <is>
          <t>ÖSTERGÖTLANDS LÄN</t>
        </is>
      </c>
      <c r="G65" t="inlineStr">
        <is>
          <t>SÖDERKÖPING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45058</v>
      </c>
      <c r="E66" s="1" t="n">
        <v>46303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20221-2023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45055</v>
      </c>
      <c r="E67" s="1" t="n">
        <v>46303</v>
      </c>
      <c r="F67" t="inlineStr">
        <is>
          <t>ÖSTERGÖTLANDS LÄN</t>
        </is>
      </c>
      <c r="G67" t="inlineStr">
        <is>
          <t>SÖDERKÖPING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46303</v>
      </c>
      <c r="F68" t="inlineStr">
        <is>
          <t>ÖSTERGÖTLANDS LÄN</t>
        </is>
      </c>
      <c r="G68" t="inlineStr">
        <is>
          <t>SÖDERKÖPING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46303</v>
      </c>
      <c r="F69" t="inlineStr">
        <is>
          <t>ÖSTERGÖTLANDS LÄN</t>
        </is>
      </c>
      <c r="G69" t="inlineStr">
        <is>
          <t>SÖDERKÖPING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46303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42673-2023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45181</v>
      </c>
      <c r="E71" s="1" t="n">
        <v>46303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45667</v>
      </c>
      <c r="E72" s="1" t="n">
        <v>46303</v>
      </c>
      <c r="F72" t="inlineStr">
        <is>
          <t>ÖSTERGÖTLANDS LÄN</t>
        </is>
      </c>
      <c r="G72" t="inlineStr">
        <is>
          <t>SÖDERKÖPING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46303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46303</v>
      </c>
      <c r="F74" t="inlineStr">
        <is>
          <t>ÖSTERGÖTLANDS LÄN</t>
        </is>
      </c>
      <c r="G74" t="inlineStr">
        <is>
          <t>SÖDERKÖPING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45504</v>
      </c>
      <c r="E75" s="1" t="n">
        <v>46303</v>
      </c>
      <c r="F75" t="inlineStr">
        <is>
          <t>ÖSTERGÖTLANDS LÄN</t>
        </is>
      </c>
      <c r="G75" t="inlineStr">
        <is>
          <t>SÖDERKÖPING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46303</v>
      </c>
      <c r="F76" t="inlineStr">
        <is>
          <t>ÖSTERGÖTLANDS LÄN</t>
        </is>
      </c>
      <c r="G76" t="inlineStr">
        <is>
          <t>SÖDERKÖPING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46303</v>
      </c>
      <c r="F77" t="inlineStr">
        <is>
          <t>ÖSTERGÖTLANDS LÄN</t>
        </is>
      </c>
      <c r="G77" t="inlineStr">
        <is>
          <t>SÖDERKÖPING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46303</v>
      </c>
      <c r="F78" t="inlineStr">
        <is>
          <t>ÖSTERGÖTLANDS LÄN</t>
        </is>
      </c>
      <c r="G78" t="inlineStr">
        <is>
          <t>SÖDERKÖPING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46303</v>
      </c>
      <c r="F79" t="inlineStr">
        <is>
          <t>ÖSTERGÖTLANDS LÄN</t>
        </is>
      </c>
      <c r="G79" t="inlineStr">
        <is>
          <t>SÖDERKÖPING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46303</v>
      </c>
      <c r="F80" t="inlineStr">
        <is>
          <t>ÖSTERGÖTLANDS LÄN</t>
        </is>
      </c>
      <c r="G80" t="inlineStr">
        <is>
          <t>SÖDERKÖPING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45184</v>
      </c>
      <c r="E81" s="1" t="n">
        <v>46303</v>
      </c>
      <c r="F81" t="inlineStr">
        <is>
          <t>ÖSTERGÖTLANDS LÄN</t>
        </is>
      </c>
      <c r="G81" t="inlineStr">
        <is>
          <t>SÖDERKÖPING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46303</v>
      </c>
      <c r="F82" t="inlineStr">
        <is>
          <t>ÖSTERGÖTLANDS LÄN</t>
        </is>
      </c>
      <c r="G82" t="inlineStr">
        <is>
          <t>SÖDERKÖPING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45504</v>
      </c>
      <c r="E83" s="1" t="n">
        <v>46303</v>
      </c>
      <c r="F83" t="inlineStr">
        <is>
          <t>ÖSTERGÖTLANDS LÄN</t>
        </is>
      </c>
      <c r="G83" t="inlineStr">
        <is>
          <t>SÖDERKÖPING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46303</v>
      </c>
      <c r="F84" t="inlineStr">
        <is>
          <t>ÖSTERGÖTLANDS LÄN</t>
        </is>
      </c>
      <c r="G84" t="inlineStr">
        <is>
          <t>SÖDERKÖPING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46303</v>
      </c>
      <c r="F85" t="inlineStr">
        <is>
          <t>ÖSTERGÖTLANDS LÄN</t>
        </is>
      </c>
      <c r="G85" t="inlineStr">
        <is>
          <t>SÖDERKÖPING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45790</v>
      </c>
      <c r="E86" s="1" t="n">
        <v>46303</v>
      </c>
      <c r="F86" t="inlineStr">
        <is>
          <t>ÖSTERGÖTLANDS LÄN</t>
        </is>
      </c>
      <c r="G86" t="inlineStr">
        <is>
          <t>SÖDERKÖPING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46303</v>
      </c>
      <c r="F87" t="inlineStr">
        <is>
          <t>ÖSTERGÖTLANDS LÄN</t>
        </is>
      </c>
      <c r="G87" t="inlineStr">
        <is>
          <t>SÖDERKÖPING</t>
        </is>
      </c>
      <c r="I87" t="n">
        <v>13.8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45504</v>
      </c>
      <c r="E88" s="1" t="n">
        <v>46303</v>
      </c>
      <c r="F88" t="inlineStr">
        <is>
          <t>ÖSTERGÖTLANDS LÄN</t>
        </is>
      </c>
      <c r="G88" t="inlineStr">
        <is>
          <t>SÖDERKÖPING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45297</v>
      </c>
      <c r="E89" s="1" t="n">
        <v>46303</v>
      </c>
      <c r="F89" t="inlineStr">
        <is>
          <t>ÖSTERGÖTLANDS LÄN</t>
        </is>
      </c>
      <c r="G89" t="inlineStr">
        <is>
          <t>SÖDERKÖPING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46303</v>
      </c>
      <c r="F90" t="inlineStr">
        <is>
          <t>ÖSTERGÖTLANDS LÄN</t>
        </is>
      </c>
      <c r="G90" t="inlineStr">
        <is>
          <t>SÖDERKÖPING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46303</v>
      </c>
      <c r="F91" t="inlineStr">
        <is>
          <t>ÖSTERGÖTLANDS LÄN</t>
        </is>
      </c>
      <c r="G91" t="inlineStr">
        <is>
          <t>SÖDERKÖPING</t>
        </is>
      </c>
      <c r="H91" t="inlineStr">
        <is>
          <t>Holmen skog AB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46303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46303</v>
      </c>
      <c r="F93" t="inlineStr">
        <is>
          <t>ÖSTERGÖTLANDS LÄN</t>
        </is>
      </c>
      <c r="G93" t="inlineStr">
        <is>
          <t>SÖDERKÖPING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44805</v>
      </c>
      <c r="E94" s="1" t="n">
        <v>46303</v>
      </c>
      <c r="F94" t="inlineStr">
        <is>
          <t>ÖSTERGÖTLANDS LÄN</t>
        </is>
      </c>
      <c r="G94" t="inlineStr">
        <is>
          <t>SÖDERKÖPING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46303</v>
      </c>
      <c r="F95" t="inlineStr">
        <is>
          <t>ÖSTERGÖTLANDS LÄN</t>
        </is>
      </c>
      <c r="G95" t="inlineStr">
        <is>
          <t>SÖDERKÖPING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39854-2025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46303</v>
      </c>
      <c r="F96" t="inlineStr">
        <is>
          <t>ÖSTERGÖTLANDS LÄN</t>
        </is>
      </c>
      <c r="G96" t="inlineStr">
        <is>
          <t>SÖDERKÖPING</t>
        </is>
      </c>
      <c r="I96" t="n">
        <v>26.6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33735-2023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45119</v>
      </c>
      <c r="E97" s="1" t="n">
        <v>46303</v>
      </c>
      <c r="F97" t="inlineStr">
        <is>
          <t>ÖSTERGÖTLANDS LÄN</t>
        </is>
      </c>
      <c r="G97" t="inlineStr">
        <is>
          <t>SÖDERKÖPING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46303</v>
      </c>
      <c r="F98" t="inlineStr">
        <is>
          <t>ÖSTERGÖTLANDS LÄN</t>
        </is>
      </c>
      <c r="G98" t="inlineStr">
        <is>
          <t>SÖDERKÖPING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66075-2021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46303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46303</v>
      </c>
      <c r="F100" t="inlineStr">
        <is>
          <t>ÖSTERGÖTLANDS LÄN</t>
        </is>
      </c>
      <c r="G100" t="inlineStr">
        <is>
          <t>SÖDERKÖPING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45684</v>
      </c>
      <c r="E101" s="1" t="n">
        <v>46303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45489</v>
      </c>
      <c r="E102" s="1" t="n">
        <v>46303</v>
      </c>
      <c r="F102" t="inlineStr">
        <is>
          <t>ÖSTERGÖTLANDS LÄN</t>
        </is>
      </c>
      <c r="G102" t="inlineStr">
        <is>
          <t>SÖDERKÖPING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46303</v>
      </c>
      <c r="F103" t="inlineStr">
        <is>
          <t>ÖSTERGÖTLANDS LÄN</t>
        </is>
      </c>
      <c r="G103" t="inlineStr">
        <is>
          <t>SÖDERKÖPING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46303</v>
      </c>
      <c r="F104" t="inlineStr">
        <is>
          <t>ÖSTERGÖTLANDS LÄN</t>
        </is>
      </c>
      <c r="G104" t="inlineStr">
        <is>
          <t>SÖDERKÖPING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46303</v>
      </c>
      <c r="F105" t="inlineStr">
        <is>
          <t>ÖSTERGÖTLANDS LÄN</t>
        </is>
      </c>
      <c r="G105" t="inlineStr">
        <is>
          <t>SÖDERKÖPING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46303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Allmännings- och besparingsskogar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44984</v>
      </c>
      <c r="E107" s="1" t="n">
        <v>46303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Allmännings- och besparingsskogar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45685</v>
      </c>
      <c r="E108" s="1" t="n">
        <v>46303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46303</v>
      </c>
      <c r="F109" t="inlineStr">
        <is>
          <t>ÖSTERGÖTLANDS LÄN</t>
        </is>
      </c>
      <c r="G109" t="inlineStr">
        <is>
          <t>SÖDERKÖPING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44939</v>
      </c>
      <c r="E110" s="1" t="n">
        <v>46303</v>
      </c>
      <c r="F110" t="inlineStr">
        <is>
          <t>ÖSTERGÖTLANDS LÄN</t>
        </is>
      </c>
      <c r="G110" t="inlineStr">
        <is>
          <t>SÖDERKÖPING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46303</v>
      </c>
      <c r="F111" t="inlineStr">
        <is>
          <t>ÖSTERGÖTLANDS LÄN</t>
        </is>
      </c>
      <c r="G111" t="inlineStr">
        <is>
          <t>SÖDERKÖPING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46303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46303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41363-2023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46303</v>
      </c>
      <c r="F114" t="inlineStr">
        <is>
          <t>ÖSTERGÖTLANDS LÄN</t>
        </is>
      </c>
      <c r="G114" t="inlineStr">
        <is>
          <t>SÖDERKÖPING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10369-2024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46303</v>
      </c>
      <c r="F115" t="inlineStr">
        <is>
          <t>ÖSTERGÖTLANDS LÄN</t>
        </is>
      </c>
      <c r="G115" t="inlineStr">
        <is>
          <t>SÖDERKÖPING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46303</v>
      </c>
      <c r="F116" t="inlineStr">
        <is>
          <t>ÖSTERGÖTLANDS LÄN</t>
        </is>
      </c>
      <c r="G116" t="inlineStr">
        <is>
          <t>SÖDERKÖPING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28487-2025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46303</v>
      </c>
      <c r="F117" t="inlineStr">
        <is>
          <t>ÖSTERGÖTLANDS LÄN</t>
        </is>
      </c>
      <c r="G117" t="inlineStr">
        <is>
          <t>SÖDERKÖPING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46303</v>
      </c>
      <c r="F118" t="inlineStr">
        <is>
          <t>ÖSTERGÖTLANDS LÄN</t>
        </is>
      </c>
      <c r="G118" t="inlineStr">
        <is>
          <t>SÖDERKÖPING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46303</v>
      </c>
      <c r="F119" t="inlineStr">
        <is>
          <t>ÖSTERGÖTLANDS LÄN</t>
        </is>
      </c>
      <c r="G119" t="inlineStr">
        <is>
          <t>SÖDERKÖPING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45774-2025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46303</v>
      </c>
      <c r="F120" t="inlineStr">
        <is>
          <t>ÖSTERGÖTLANDS LÄN</t>
        </is>
      </c>
      <c r="G120" t="inlineStr">
        <is>
          <t>SÖDERKÖPING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45742</v>
      </c>
      <c r="E121" s="1" t="n">
        <v>46303</v>
      </c>
      <c r="F121" t="inlineStr">
        <is>
          <t>ÖSTERGÖTLANDS LÄN</t>
        </is>
      </c>
      <c r="G121" t="inlineStr">
        <is>
          <t>SÖDERKÖPING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46303</v>
      </c>
      <c r="F122" t="inlineStr">
        <is>
          <t>ÖSTERGÖTLANDS LÄN</t>
        </is>
      </c>
      <c r="G122" t="inlineStr">
        <is>
          <t>SÖDERKÖPING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46303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46303</v>
      </c>
      <c r="F124" t="inlineStr">
        <is>
          <t>ÖSTERGÖTLANDS LÄN</t>
        </is>
      </c>
      <c r="G124" t="inlineStr">
        <is>
          <t>SÖDERKÖPING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46303</v>
      </c>
      <c r="F125" t="inlineStr">
        <is>
          <t>ÖSTERGÖTLANDS LÄN</t>
        </is>
      </c>
      <c r="G125" t="inlineStr">
        <is>
          <t>SÖDERKÖPING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46303</v>
      </c>
      <c r="F126" t="inlineStr">
        <is>
          <t>ÖSTERGÖTLANDS LÄN</t>
        </is>
      </c>
      <c r="G126" t="inlineStr">
        <is>
          <t>SÖDERKÖPING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46303</v>
      </c>
      <c r="F127" t="inlineStr">
        <is>
          <t>ÖSTERGÖTLANDS LÄN</t>
        </is>
      </c>
      <c r="G127" t="inlineStr">
        <is>
          <t>SÖDERKÖPING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46303</v>
      </c>
      <c r="F128" t="inlineStr">
        <is>
          <t>ÖSTERGÖTLANDS LÄN</t>
        </is>
      </c>
      <c r="G128" t="inlineStr">
        <is>
          <t>SÖDERKÖPING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44979</v>
      </c>
      <c r="E129" s="1" t="n">
        <v>46303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Allmännings- och besparingsskogar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45295</v>
      </c>
      <c r="E130" s="1" t="n">
        <v>46303</v>
      </c>
      <c r="F130" t="inlineStr">
        <is>
          <t>ÖSTERGÖTLANDS LÄN</t>
        </is>
      </c>
      <c r="G130" t="inlineStr">
        <is>
          <t>SÖDERKÖPING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46303</v>
      </c>
      <c r="F131" t="inlineStr">
        <is>
          <t>ÖSTERGÖTLANDS LÄN</t>
        </is>
      </c>
      <c r="G131" t="inlineStr">
        <is>
          <t>SÖDERKÖPING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46303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Allmännings- och besparingsskogar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46303</v>
      </c>
      <c r="F133" t="inlineStr">
        <is>
          <t>ÖSTERGÖTLANDS LÄN</t>
        </is>
      </c>
      <c r="G133" t="inlineStr">
        <is>
          <t>SÖDERKÖPING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44900</v>
      </c>
      <c r="E134" s="1" t="n">
        <v>46303</v>
      </c>
      <c r="F134" t="inlineStr">
        <is>
          <t>ÖSTERGÖTLANDS LÄN</t>
        </is>
      </c>
      <c r="G134" t="inlineStr">
        <is>
          <t>SÖDERKÖPING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46303</v>
      </c>
      <c r="F135" t="inlineStr">
        <is>
          <t>ÖSTERGÖTLANDS LÄN</t>
        </is>
      </c>
      <c r="G135" t="inlineStr">
        <is>
          <t>SÖDERKÖPING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46303</v>
      </c>
      <c r="F136" t="inlineStr">
        <is>
          <t>ÖSTERGÖTLANDS LÄN</t>
        </is>
      </c>
      <c r="G136" t="inlineStr">
        <is>
          <t>SÖDERKÖPING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45399</v>
      </c>
      <c r="E137" s="1" t="n">
        <v>46303</v>
      </c>
      <c r="F137" t="inlineStr">
        <is>
          <t>ÖSTERGÖTLANDS LÄN</t>
        </is>
      </c>
      <c r="G137" t="inlineStr">
        <is>
          <t>SÖDERKÖPING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45379</v>
      </c>
      <c r="E138" s="1" t="n">
        <v>46303</v>
      </c>
      <c r="F138" t="inlineStr">
        <is>
          <t>ÖSTERGÖTLANDS LÄN</t>
        </is>
      </c>
      <c r="G138" t="inlineStr">
        <is>
          <t>SÖDERKÖPING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46303</v>
      </c>
      <c r="F139" t="inlineStr">
        <is>
          <t>ÖSTERGÖTLANDS LÄN</t>
        </is>
      </c>
      <c r="G139" t="inlineStr">
        <is>
          <t>SÖDERKÖPING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46303</v>
      </c>
      <c r="F140" t="inlineStr">
        <is>
          <t>ÖSTERGÖTLANDS LÄN</t>
        </is>
      </c>
      <c r="G140" t="inlineStr">
        <is>
          <t>SÖDERKÖPING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44888</v>
      </c>
      <c r="E141" s="1" t="n">
        <v>46303</v>
      </c>
      <c r="F141" t="inlineStr">
        <is>
          <t>ÖSTERGÖTLANDS LÄN</t>
        </is>
      </c>
      <c r="G141" t="inlineStr">
        <is>
          <t>SÖDERKÖPING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46303</v>
      </c>
      <c r="F142" t="inlineStr">
        <is>
          <t>ÖSTERGÖTLANDS LÄN</t>
        </is>
      </c>
      <c r="G142" t="inlineStr">
        <is>
          <t>SÖDERKÖPING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44862</v>
      </c>
      <c r="E143" s="1" t="n">
        <v>46303</v>
      </c>
      <c r="F143" t="inlineStr">
        <is>
          <t>ÖSTERGÖTLANDS LÄN</t>
        </is>
      </c>
      <c r="G143" t="inlineStr">
        <is>
          <t>SÖDERKÖPING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46303</v>
      </c>
      <c r="F144" t="inlineStr">
        <is>
          <t>ÖSTERGÖTLANDS LÄN</t>
        </is>
      </c>
      <c r="G144" t="inlineStr">
        <is>
          <t>SÖDERKÖPING</t>
        </is>
      </c>
      <c r="I144" t="n">
        <v>9.300000000000001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46303</v>
      </c>
      <c r="F145" t="inlineStr">
        <is>
          <t>ÖSTERGÖTLANDS LÄN</t>
        </is>
      </c>
      <c r="G145" t="inlineStr">
        <is>
          <t>SÖDERKÖPING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44813</v>
      </c>
      <c r="E146" s="1" t="n">
        <v>46303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46303</v>
      </c>
      <c r="F147" t="inlineStr">
        <is>
          <t>ÖSTERGÖTLANDS LÄN</t>
        </is>
      </c>
      <c r="G147" t="inlineStr">
        <is>
          <t>SÖDERKÖPING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45586</v>
      </c>
      <c r="E148" s="1" t="n">
        <v>46303</v>
      </c>
      <c r="F148" t="inlineStr">
        <is>
          <t>ÖSTERGÖTLANDS LÄN</t>
        </is>
      </c>
      <c r="G148" t="inlineStr">
        <is>
          <t>SÖDERKÖPING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45191</v>
      </c>
      <c r="E149" s="1" t="n">
        <v>46303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46303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Holmen skog AB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46303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Holmen skog AB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46303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45159</v>
      </c>
      <c r="E153" s="1" t="n">
        <v>46303</v>
      </c>
      <c r="F153" t="inlineStr">
        <is>
          <t>ÖSTERGÖTLANDS LÄN</t>
        </is>
      </c>
      <c r="G153" t="inlineStr">
        <is>
          <t>SÖDERKÖPING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44911</v>
      </c>
      <c r="E154" s="1" t="n">
        <v>46303</v>
      </c>
      <c r="F154" t="inlineStr">
        <is>
          <t>ÖSTERGÖTLANDS LÄN</t>
        </is>
      </c>
      <c r="G154" t="inlineStr">
        <is>
          <t>SÖDERKÖPING</t>
        </is>
      </c>
      <c r="H154" t="inlineStr">
        <is>
          <t>Allmännings- och besparingsskogar</t>
        </is>
      </c>
      <c r="I154" t="n">
        <v>10.8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45181</v>
      </c>
      <c r="E155" s="1" t="n">
        <v>46303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46303</v>
      </c>
      <c r="F156" t="inlineStr">
        <is>
          <t>ÖSTERGÖTLANDS LÄN</t>
        </is>
      </c>
      <c r="G156" t="inlineStr">
        <is>
          <t>SÖDERKÖPING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45667</v>
      </c>
      <c r="E157" s="1" t="n">
        <v>46303</v>
      </c>
      <c r="F157" t="inlineStr">
        <is>
          <t>ÖSTERGÖTLANDS LÄN</t>
        </is>
      </c>
      <c r="G157" t="inlineStr">
        <is>
          <t>SÖDERKÖPING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45876</v>
      </c>
      <c r="E158" s="1" t="n">
        <v>46303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45876</v>
      </c>
      <c r="E159" s="1" t="n">
        <v>46303</v>
      </c>
      <c r="F159" t="inlineStr">
        <is>
          <t>ÖSTERGÖTLANDS LÄN</t>
        </is>
      </c>
      <c r="G159" t="inlineStr">
        <is>
          <t>SÖDERKÖPING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46303</v>
      </c>
      <c r="F160" t="inlineStr">
        <is>
          <t>ÖSTERGÖTLANDS LÄN</t>
        </is>
      </c>
      <c r="G160" t="inlineStr">
        <is>
          <t>SÖDERKÖPING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45782</v>
      </c>
      <c r="E161" s="1" t="n">
        <v>46303</v>
      </c>
      <c r="F161" t="inlineStr">
        <is>
          <t>ÖSTERGÖTLANDS LÄN</t>
        </is>
      </c>
      <c r="G161" t="inlineStr">
        <is>
          <t>SÖDERKÖPING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45093</v>
      </c>
      <c r="E162" s="1" t="n">
        <v>46303</v>
      </c>
      <c r="F162" t="inlineStr">
        <is>
          <t>ÖSTERGÖTLANDS LÄN</t>
        </is>
      </c>
      <c r="G162" t="inlineStr">
        <is>
          <t>SÖDERKÖPING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46303</v>
      </c>
      <c r="F163" t="inlineStr">
        <is>
          <t>ÖSTERGÖTLANDS LÄN</t>
        </is>
      </c>
      <c r="G163" t="inlineStr">
        <is>
          <t>SÖDERKÖPING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46303</v>
      </c>
      <c r="F164" t="inlineStr">
        <is>
          <t>ÖSTERGÖTLANDS LÄN</t>
        </is>
      </c>
      <c r="G164" t="inlineStr">
        <is>
          <t>SÖDERKÖPING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45344</v>
      </c>
      <c r="E165" s="1" t="n">
        <v>46303</v>
      </c>
      <c r="F165" t="inlineStr">
        <is>
          <t>ÖSTERGÖTLANDS LÄN</t>
        </is>
      </c>
      <c r="G165" t="inlineStr">
        <is>
          <t>SÖDERKÖPING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46303</v>
      </c>
      <c r="F166" t="inlineStr">
        <is>
          <t>ÖSTERGÖTLANDS LÄN</t>
        </is>
      </c>
      <c r="G166" t="inlineStr">
        <is>
          <t>SÖDERKÖPING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45055</v>
      </c>
      <c r="E167" s="1" t="n">
        <v>46303</v>
      </c>
      <c r="F167" t="inlineStr">
        <is>
          <t>ÖSTERGÖTLANDS LÄN</t>
        </is>
      </c>
      <c r="G167" t="inlineStr">
        <is>
          <t>SÖDERKÖPING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45092</v>
      </c>
      <c r="E168" s="1" t="n">
        <v>46303</v>
      </c>
      <c r="F168" t="inlineStr">
        <is>
          <t>ÖSTERGÖTLANDS LÄN</t>
        </is>
      </c>
      <c r="G168" t="inlineStr">
        <is>
          <t>SÖDERKÖPING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46303</v>
      </c>
      <c r="F169" t="inlineStr">
        <is>
          <t>ÖSTERGÖTLANDS LÄN</t>
        </is>
      </c>
      <c r="G169" t="inlineStr">
        <is>
          <t>SÖDERKÖPING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46303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46303</v>
      </c>
      <c r="F171" t="inlineStr">
        <is>
          <t>ÖSTERGÖTLANDS LÄN</t>
        </is>
      </c>
      <c r="G171" t="inlineStr">
        <is>
          <t>SÖDERKÖPING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46303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46303</v>
      </c>
      <c r="F173" t="inlineStr">
        <is>
          <t>ÖSTERGÖTLANDS LÄN</t>
        </is>
      </c>
      <c r="G173" t="inlineStr">
        <is>
          <t>SÖDERKÖPING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46303</v>
      </c>
      <c r="F174" t="inlineStr">
        <is>
          <t>ÖSTERGÖTLANDS LÄN</t>
        </is>
      </c>
      <c r="G174" t="inlineStr">
        <is>
          <t>SÖDERKÖPING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46303</v>
      </c>
      <c r="F175" t="inlineStr">
        <is>
          <t>ÖSTERGÖTLANDS LÄN</t>
        </is>
      </c>
      <c r="G175" t="inlineStr">
        <is>
          <t>SÖDERKÖPING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46303</v>
      </c>
      <c r="F176" t="inlineStr">
        <is>
          <t>ÖSTERGÖTLANDS LÄN</t>
        </is>
      </c>
      <c r="G176" t="inlineStr">
        <is>
          <t>SÖDERKÖPING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44572</v>
      </c>
      <c r="E177" s="1" t="n">
        <v>46303</v>
      </c>
      <c r="F177" t="inlineStr">
        <is>
          <t>ÖSTERGÖTLANDS LÄN</t>
        </is>
      </c>
      <c r="G177" t="inlineStr">
        <is>
          <t>SÖDERKÖPING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46303</v>
      </c>
      <c r="F178" t="inlineStr">
        <is>
          <t>ÖSTERGÖTLANDS LÄN</t>
        </is>
      </c>
      <c r="G178" t="inlineStr">
        <is>
          <t>SÖDERKÖPING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44736</v>
      </c>
      <c r="E179" s="1" t="n">
        <v>46303</v>
      </c>
      <c r="F179" t="inlineStr">
        <is>
          <t>ÖSTERGÖTLANDS LÄN</t>
        </is>
      </c>
      <c r="G179" t="inlineStr">
        <is>
          <t>SÖDERKÖPING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46303</v>
      </c>
      <c r="F180" t="inlineStr">
        <is>
          <t>ÖSTERGÖTLANDS LÄN</t>
        </is>
      </c>
      <c r="G180" t="inlineStr">
        <is>
          <t>SÖDERKÖPING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45315</v>
      </c>
      <c r="E181" s="1" t="n">
        <v>46303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46303</v>
      </c>
      <c r="F182" t="inlineStr">
        <is>
          <t>ÖSTERGÖTLANDS LÄN</t>
        </is>
      </c>
      <c r="G182" t="inlineStr">
        <is>
          <t>SÖDERKÖPING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46303</v>
      </c>
      <c r="F183" t="inlineStr">
        <is>
          <t>ÖSTERGÖTLANDS LÄN</t>
        </is>
      </c>
      <c r="G183" t="inlineStr">
        <is>
          <t>SÖDERKÖPING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46303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46303</v>
      </c>
      <c r="F185" t="inlineStr">
        <is>
          <t>ÖSTERGÖTLANDS LÄN</t>
        </is>
      </c>
      <c r="G185" t="inlineStr">
        <is>
          <t>SÖDERKÖPING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46303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21903-2026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46303</v>
      </c>
      <c r="F187" t="inlineStr">
        <is>
          <t>ÖSTERGÖTLANDS LÄN</t>
        </is>
      </c>
      <c r="G187" t="inlineStr">
        <is>
          <t>SÖDERKÖPING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46303</v>
      </c>
      <c r="F188" t="inlineStr">
        <is>
          <t>ÖSTERGÖTLANDS LÄN</t>
        </is>
      </c>
      <c r="G188" t="inlineStr">
        <is>
          <t>SÖDERKÖPING</t>
        </is>
      </c>
      <c r="H188" t="inlineStr">
        <is>
          <t>Holmen skog AB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46303</v>
      </c>
      <c r="F189" t="inlineStr">
        <is>
          <t>ÖSTERGÖTLANDS LÄN</t>
        </is>
      </c>
      <c r="G189" t="inlineStr">
        <is>
          <t>SÖDERKÖPING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46303</v>
      </c>
      <c r="F190" t="inlineStr">
        <is>
          <t>ÖSTERGÖTLANDS LÄN</t>
        </is>
      </c>
      <c r="G190" t="inlineStr">
        <is>
          <t>SÖDERKÖPING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44618</v>
      </c>
      <c r="E191" s="1" t="n">
        <v>46303</v>
      </c>
      <c r="F191" t="inlineStr">
        <is>
          <t>ÖSTERGÖTLANDS LÄN</t>
        </is>
      </c>
      <c r="G191" t="inlineStr">
        <is>
          <t>SÖDERKÖPING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46303</v>
      </c>
      <c r="F192" t="inlineStr">
        <is>
          <t>ÖSTERGÖTLANDS LÄN</t>
        </is>
      </c>
      <c r="G192" t="inlineStr">
        <is>
          <t>SÖDERKÖPING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46303</v>
      </c>
      <c r="F193" t="inlineStr">
        <is>
          <t>ÖSTERGÖTLANDS LÄN</t>
        </is>
      </c>
      <c r="G193" t="inlineStr">
        <is>
          <t>SÖDERKÖPING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46303</v>
      </c>
      <c r="F194" t="inlineStr">
        <is>
          <t>ÖSTERGÖTLANDS LÄN</t>
        </is>
      </c>
      <c r="G194" t="inlineStr">
        <is>
          <t>SÖDERKÖPING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46303</v>
      </c>
      <c r="F195" t="inlineStr">
        <is>
          <t>ÖSTERGÖTLANDS LÄN</t>
        </is>
      </c>
      <c r="G195" t="inlineStr">
        <is>
          <t>SÖDERKÖPING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46303</v>
      </c>
      <c r="F196" t="inlineStr">
        <is>
          <t>ÖSTERGÖTLANDS LÄN</t>
        </is>
      </c>
      <c r="G196" t="inlineStr">
        <is>
          <t>SÖDERKÖPING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45684</v>
      </c>
      <c r="E197" s="1" t="n">
        <v>46303</v>
      </c>
      <c r="F197" t="inlineStr">
        <is>
          <t>ÖSTERGÖTLANDS LÄN</t>
        </is>
      </c>
      <c r="G197" t="inlineStr">
        <is>
          <t>SÖDERKÖPING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45106</v>
      </c>
      <c r="E198" s="1" t="n">
        <v>46303</v>
      </c>
      <c r="F198" t="inlineStr">
        <is>
          <t>ÖSTERGÖTLANDS LÄN</t>
        </is>
      </c>
      <c r="G198" t="inlineStr">
        <is>
          <t>SÖDERKÖPING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46303</v>
      </c>
      <c r="F199" t="inlineStr">
        <is>
          <t>ÖSTERGÖTLANDS LÄN</t>
        </is>
      </c>
      <c r="G199" t="inlineStr">
        <is>
          <t>SÖDERKÖPING</t>
        </is>
      </c>
      <c r="I199" t="n">
        <v>15.3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45239</v>
      </c>
      <c r="E200" s="1" t="n">
        <v>46303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Holmen skog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45250</v>
      </c>
      <c r="E201" s="1" t="n">
        <v>46303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46303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46303</v>
      </c>
      <c r="F203" t="inlineStr">
        <is>
          <t>ÖSTERGÖTLANDS LÄN</t>
        </is>
      </c>
      <c r="G203" t="inlineStr">
        <is>
          <t>SÖDERKÖPING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46161</v>
      </c>
      <c r="E204" s="1" t="n">
        <v>46303</v>
      </c>
      <c r="F204" t="inlineStr">
        <is>
          <t>ÖSTERGÖTLANDS LÄN</t>
        </is>
      </c>
      <c r="G204" t="inlineStr">
        <is>
          <t>SÖDERKÖPING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46303</v>
      </c>
      <c r="F205" t="inlineStr">
        <is>
          <t>ÖSTERGÖTLANDS LÄN</t>
        </is>
      </c>
      <c r="G205" t="inlineStr">
        <is>
          <t>SÖDERKÖPING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46303</v>
      </c>
      <c r="F206" t="inlineStr">
        <is>
          <t>ÖSTERGÖTLANDS LÄN</t>
        </is>
      </c>
      <c r="G206" t="inlineStr">
        <is>
          <t>SÖDERKÖPING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46303</v>
      </c>
      <c r="F207" t="inlineStr">
        <is>
          <t>ÖSTERGÖTLANDS LÄN</t>
        </is>
      </c>
      <c r="G207" t="inlineStr">
        <is>
          <t>SÖDERKÖPING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46003</v>
      </c>
      <c r="E208" s="1" t="n">
        <v>46303</v>
      </c>
      <c r="F208" t="inlineStr">
        <is>
          <t>ÖSTERGÖTLANDS LÄN</t>
        </is>
      </c>
      <c r="G208" t="inlineStr">
        <is>
          <t>SÖDERKÖPING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46003</v>
      </c>
      <c r="E209" s="1" t="n">
        <v>46303</v>
      </c>
      <c r="F209" t="inlineStr">
        <is>
          <t>ÖSTERGÖTLANDS LÄN</t>
        </is>
      </c>
      <c r="G209" t="inlineStr">
        <is>
          <t>SÖDERKÖPING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44956</v>
      </c>
      <c r="E210" s="1" t="n">
        <v>46303</v>
      </c>
      <c r="F210" t="inlineStr">
        <is>
          <t>ÖSTERGÖTLANDS LÄN</t>
        </is>
      </c>
      <c r="G210" t="inlineStr">
        <is>
          <t>SÖDERKÖPING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46303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46303</v>
      </c>
      <c r="F212" t="inlineStr">
        <is>
          <t>ÖSTERGÖTLANDS LÄN</t>
        </is>
      </c>
      <c r="G212" t="inlineStr">
        <is>
          <t>SÖDERKÖPING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45663</v>
      </c>
      <c r="E213" s="1" t="n">
        <v>46303</v>
      </c>
      <c r="F213" t="inlineStr">
        <is>
          <t>ÖSTERGÖTLANDS LÄN</t>
        </is>
      </c>
      <c r="G213" t="inlineStr">
        <is>
          <t>SÖDERKÖPING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46303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23785-2026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46164</v>
      </c>
      <c r="E215" s="1" t="n">
        <v>46303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Holmen skog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44734</v>
      </c>
      <c r="E216" s="1" t="n">
        <v>46303</v>
      </c>
      <c r="F216" t="inlineStr">
        <is>
          <t>ÖSTERGÖTLANDS LÄN</t>
        </is>
      </c>
      <c r="G216" t="inlineStr">
        <is>
          <t>SÖDERKÖPING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45159</v>
      </c>
      <c r="E217" s="1" t="n">
        <v>46303</v>
      </c>
      <c r="F217" t="inlineStr">
        <is>
          <t>ÖSTERGÖTLANDS LÄN</t>
        </is>
      </c>
      <c r="G217" t="inlineStr">
        <is>
          <t>SÖDERKÖPING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45159</v>
      </c>
      <c r="E218" s="1" t="n">
        <v>46303</v>
      </c>
      <c r="F218" t="inlineStr">
        <is>
          <t>ÖSTERGÖTLANDS LÄN</t>
        </is>
      </c>
      <c r="G218" t="inlineStr">
        <is>
          <t>SÖDERKÖPING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45159</v>
      </c>
      <c r="E219" s="1" t="n">
        <v>46303</v>
      </c>
      <c r="F219" t="inlineStr">
        <is>
          <t>ÖSTERGÖTLANDS LÄN</t>
        </is>
      </c>
      <c r="G219" t="inlineStr">
        <is>
          <t>SÖDERKÖPING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29660-2022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44754</v>
      </c>
      <c r="E220" s="1" t="n">
        <v>46303</v>
      </c>
      <c r="F220" t="inlineStr">
        <is>
          <t>ÖSTERGÖTLANDS LÄN</t>
        </is>
      </c>
      <c r="G220" t="inlineStr">
        <is>
          <t>SÖDERKÖPING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46303</v>
      </c>
      <c r="F221" t="inlineStr">
        <is>
          <t>ÖSTERGÖTLANDS LÄN</t>
        </is>
      </c>
      <c r="G221" t="inlineStr">
        <is>
          <t>SÖDERKÖPING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45297</v>
      </c>
      <c r="E222" s="1" t="n">
        <v>46303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46303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59471-2023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45254</v>
      </c>
      <c r="E224" s="1" t="n">
        <v>46303</v>
      </c>
      <c r="F224" t="inlineStr">
        <is>
          <t>ÖSTERGÖTLANDS LÄN</t>
        </is>
      </c>
      <c r="G224" t="inlineStr">
        <is>
          <t>SÖDERKÖPING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46303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60160-2021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44495</v>
      </c>
      <c r="E226" s="1" t="n">
        <v>46303</v>
      </c>
      <c r="F226" t="inlineStr">
        <is>
          <t>ÖSTERGÖTLANDS LÄN</t>
        </is>
      </c>
      <c r="G226" t="inlineStr">
        <is>
          <t>SÖDERKÖPING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46303</v>
      </c>
      <c r="F227" t="inlineStr">
        <is>
          <t>ÖSTERGÖTLANDS LÄN</t>
        </is>
      </c>
      <c r="G227" t="inlineStr">
        <is>
          <t>SÖDERKÖPING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46303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Holmen skog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22208-2026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46153</v>
      </c>
      <c r="E229" s="1" t="n">
        <v>46303</v>
      </c>
      <c r="F229" t="inlineStr">
        <is>
          <t>ÖSTERGÖTLANDS LÄN</t>
        </is>
      </c>
      <c r="G229" t="inlineStr">
        <is>
          <t>SÖDERKÖPING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44883</v>
      </c>
      <c r="E230" s="1" t="n">
        <v>46303</v>
      </c>
      <c r="F230" t="inlineStr">
        <is>
          <t>ÖSTERGÖTLANDS LÄN</t>
        </is>
      </c>
      <c r="G230" t="inlineStr">
        <is>
          <t>SÖDERKÖPING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46303</v>
      </c>
      <c r="F231" t="inlineStr">
        <is>
          <t>ÖSTERGÖTLANDS LÄN</t>
        </is>
      </c>
      <c r="G231" t="inlineStr">
        <is>
          <t>SÖDERKÖPING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46303</v>
      </c>
      <c r="F232" t="inlineStr">
        <is>
          <t>ÖSTERGÖTLANDS LÄN</t>
        </is>
      </c>
      <c r="G232" t="inlineStr">
        <is>
          <t>SÖDERKÖPING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43889-2023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46303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46303</v>
      </c>
      <c r="F234" t="inlineStr">
        <is>
          <t>ÖSTERGÖTLANDS LÄN</t>
        </is>
      </c>
      <c r="G234" t="inlineStr">
        <is>
          <t>SÖDERKÖPING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44775</v>
      </c>
      <c r="E235" s="1" t="n">
        <v>46303</v>
      </c>
      <c r="F235" t="inlineStr">
        <is>
          <t>ÖSTERGÖTLANDS LÄN</t>
        </is>
      </c>
      <c r="G235" t="inlineStr">
        <is>
          <t>SÖDERKÖPING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46303</v>
      </c>
      <c r="F236" t="inlineStr">
        <is>
          <t>ÖSTERGÖTLANDS LÄN</t>
        </is>
      </c>
      <c r="G236" t="inlineStr">
        <is>
          <t>SÖDERKÖPING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46303</v>
      </c>
      <c r="F237" t="inlineStr">
        <is>
          <t>ÖSTERGÖTLANDS LÄN</t>
        </is>
      </c>
      <c r="G237" t="inlineStr">
        <is>
          <t>SÖDERKÖPING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46303</v>
      </c>
      <c r="F238" t="inlineStr">
        <is>
          <t>ÖSTERGÖTLANDS LÄN</t>
        </is>
      </c>
      <c r="G238" t="inlineStr">
        <is>
          <t>SÖDERKÖPING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46303</v>
      </c>
      <c r="F239" t="inlineStr">
        <is>
          <t>ÖSTERGÖTLANDS LÄN</t>
        </is>
      </c>
      <c r="G239" t="inlineStr">
        <is>
          <t>SÖDERKÖPING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26439-2026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46183</v>
      </c>
      <c r="E240" s="1" t="n">
        <v>46303</v>
      </c>
      <c r="F240" t="inlineStr">
        <is>
          <t>ÖSTERGÖTLANDS LÄN</t>
        </is>
      </c>
      <c r="G240" t="inlineStr">
        <is>
          <t>SÖDERKÖPING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46050</v>
      </c>
      <c r="E241" s="1" t="n">
        <v>46303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Kyrkan</t>
        </is>
      </c>
      <c r="I241" t="n">
        <v>11.7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46303</v>
      </c>
      <c r="F242" t="inlineStr">
        <is>
          <t>ÖSTERGÖTLANDS LÄN</t>
        </is>
      </c>
      <c r="G242" t="inlineStr">
        <is>
          <t>SÖDERKÖPING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46303</v>
      </c>
      <c r="F243" t="inlineStr">
        <is>
          <t>ÖSTERGÖTLANDS LÄN</t>
        </is>
      </c>
      <c r="G243" t="inlineStr">
        <is>
          <t>SÖDERKÖPING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44965</v>
      </c>
      <c r="E244" s="1" t="n">
        <v>46303</v>
      </c>
      <c r="F244" t="inlineStr">
        <is>
          <t>ÖSTERGÖTLANDS LÄN</t>
        </is>
      </c>
      <c r="G244" t="inlineStr">
        <is>
          <t>SÖDERKÖPING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46303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46303</v>
      </c>
      <c r="F246" t="inlineStr">
        <is>
          <t>ÖSTERGÖTLANDS LÄN</t>
        </is>
      </c>
      <c r="G246" t="inlineStr">
        <is>
          <t>SÖDERKÖPING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46303</v>
      </c>
      <c r="F247" t="inlineStr">
        <is>
          <t>ÖSTERGÖTLANDS LÄN</t>
        </is>
      </c>
      <c r="G247" t="inlineStr">
        <is>
          <t>SÖDERKÖPING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46303</v>
      </c>
      <c r="F248" t="inlineStr">
        <is>
          <t>ÖSTERGÖTLANDS LÄN</t>
        </is>
      </c>
      <c r="G248" t="inlineStr">
        <is>
          <t>SÖDERKÖPING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46303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Kyrkan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46062</v>
      </c>
      <c r="E250" s="1" t="n">
        <v>46303</v>
      </c>
      <c r="F250" t="inlineStr">
        <is>
          <t>ÖSTERGÖTLANDS LÄN</t>
        </is>
      </c>
      <c r="G250" t="inlineStr">
        <is>
          <t>SÖDERKÖPING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69425-2021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44531</v>
      </c>
      <c r="E251" s="1" t="n">
        <v>46303</v>
      </c>
      <c r="F251" t="inlineStr">
        <is>
          <t>ÖSTERGÖTLANDS LÄN</t>
        </is>
      </c>
      <c r="G251" t="inlineStr">
        <is>
          <t>SÖDERKÖPING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46303</v>
      </c>
      <c r="F252" t="inlineStr">
        <is>
          <t>ÖSTERGÖTLANDS LÄN</t>
        </is>
      </c>
      <c r="G252" t="inlineStr">
        <is>
          <t>SÖDERKÖPING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46303</v>
      </c>
      <c r="F253" t="inlineStr">
        <is>
          <t>ÖSTERGÖTLANDS LÄN</t>
        </is>
      </c>
      <c r="G253" t="inlineStr">
        <is>
          <t>SÖDERKÖPING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46061</v>
      </c>
      <c r="E254" s="1" t="n">
        <v>46303</v>
      </c>
      <c r="F254" t="inlineStr">
        <is>
          <t>ÖSTERGÖTLANDS LÄN</t>
        </is>
      </c>
      <c r="G254" t="inlineStr">
        <is>
          <t>SÖDERKÖPING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46155</v>
      </c>
      <c r="E255" s="1" t="n">
        <v>46303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Kommuner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46062</v>
      </c>
      <c r="E256" s="1" t="n">
        <v>46303</v>
      </c>
      <c r="F256" t="inlineStr">
        <is>
          <t>ÖSTERGÖTLANDS LÄN</t>
        </is>
      </c>
      <c r="G256" t="inlineStr">
        <is>
          <t>SÖDERKÖPING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46303</v>
      </c>
      <c r="F257" t="inlineStr">
        <is>
          <t>ÖSTERGÖTLANDS LÄN</t>
        </is>
      </c>
      <c r="G257" t="inlineStr">
        <is>
          <t>SÖDERKÖPING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46303</v>
      </c>
      <c r="F258" t="inlineStr">
        <is>
          <t>ÖSTERGÖTLANDS LÄN</t>
        </is>
      </c>
      <c r="G258" t="inlineStr">
        <is>
          <t>SÖDERKÖPING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46303</v>
      </c>
      <c r="F259" t="inlineStr">
        <is>
          <t>ÖSTERGÖTLANDS LÄN</t>
        </is>
      </c>
      <c r="G259" t="inlineStr">
        <is>
          <t>SÖDERKÖPING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44951</v>
      </c>
      <c r="E260" s="1" t="n">
        <v>46303</v>
      </c>
      <c r="F260" t="inlineStr">
        <is>
          <t>ÖSTERGÖTLANDS LÄN</t>
        </is>
      </c>
      <c r="G260" t="inlineStr">
        <is>
          <t>SÖDERKÖPING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46303</v>
      </c>
      <c r="F261" t="inlineStr">
        <is>
          <t>ÖSTERGÖTLANDS LÄN</t>
        </is>
      </c>
      <c r="G261" t="inlineStr">
        <is>
          <t>SÖDERKÖPING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46303</v>
      </c>
      <c r="F262" t="inlineStr">
        <is>
          <t>ÖSTERGÖTLANDS LÄN</t>
        </is>
      </c>
      <c r="G262" t="inlineStr">
        <is>
          <t>SÖDERKÖPING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46303</v>
      </c>
      <c r="F263" t="inlineStr">
        <is>
          <t>ÖSTERGÖTLANDS LÄN</t>
        </is>
      </c>
      <c r="G263" t="inlineStr">
        <is>
          <t>SÖDERKÖPING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66362-2021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44518</v>
      </c>
      <c r="E264" s="1" t="n">
        <v>46303</v>
      </c>
      <c r="F264" t="inlineStr">
        <is>
          <t>ÖSTERGÖTLANDS LÄN</t>
        </is>
      </c>
      <c r="G264" t="inlineStr">
        <is>
          <t>SÖDERKÖPING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11005-2026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46079</v>
      </c>
      <c r="E265" s="1" t="n">
        <v>46303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Kyrkan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46303</v>
      </c>
      <c r="F266" t="inlineStr">
        <is>
          <t>ÖSTERGÖTLANDS LÄN</t>
        </is>
      </c>
      <c r="G266" t="inlineStr">
        <is>
          <t>SÖDERKÖPING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42355-2023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46303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Allmännings- och besparingsskogar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46303</v>
      </c>
      <c r="F268" t="inlineStr">
        <is>
          <t>ÖSTERGÖTLANDS LÄN</t>
        </is>
      </c>
      <c r="G268" t="inlineStr">
        <is>
          <t>SÖDERKÖPING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11619-2026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46303</v>
      </c>
      <c r="F269" t="inlineStr">
        <is>
          <t>ÖSTERGÖTLANDS LÄN</t>
        </is>
      </c>
      <c r="G269" t="inlineStr">
        <is>
          <t>SÖDERKÖPING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44753</v>
      </c>
      <c r="E270" s="1" t="n">
        <v>46303</v>
      </c>
      <c r="F270" t="inlineStr">
        <is>
          <t>ÖSTERGÖTLANDS LÄN</t>
        </is>
      </c>
      <c r="G270" t="inlineStr">
        <is>
          <t>SÖDERKÖPING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44861</v>
      </c>
      <c r="E271" s="1" t="n">
        <v>46303</v>
      </c>
      <c r="F271" t="inlineStr">
        <is>
          <t>ÖSTERGÖTLANDS LÄN</t>
        </is>
      </c>
      <c r="G271" t="inlineStr">
        <is>
          <t>SÖDERKÖPING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20967-2023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45061</v>
      </c>
      <c r="E272" s="1" t="n">
        <v>46303</v>
      </c>
      <c r="F272" t="inlineStr">
        <is>
          <t>ÖSTERGÖTLANDS LÄN</t>
        </is>
      </c>
      <c r="G272" t="inlineStr">
        <is>
          <t>SÖDERKÖPING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46303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Allmännings- och besparingsskogar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46303</v>
      </c>
      <c r="F274" t="inlineStr">
        <is>
          <t>ÖSTERGÖTLANDS LÄN</t>
        </is>
      </c>
      <c r="G274" t="inlineStr">
        <is>
          <t>SÖDERKÖPING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46303</v>
      </c>
      <c r="F275" t="inlineStr">
        <is>
          <t>ÖSTERGÖTLANDS LÄN</t>
        </is>
      </c>
      <c r="G275" t="inlineStr">
        <is>
          <t>SÖDERKÖPING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45097</v>
      </c>
      <c r="E276" s="1" t="n">
        <v>46303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46303</v>
      </c>
      <c r="F277" t="inlineStr">
        <is>
          <t>ÖSTERGÖTLANDS LÄN</t>
        </is>
      </c>
      <c r="G277" t="inlineStr">
        <is>
          <t>SÖDERKÖPING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46303</v>
      </c>
      <c r="F278" t="inlineStr">
        <is>
          <t>ÖSTERGÖTLANDS LÄN</t>
        </is>
      </c>
      <c r="G278" t="inlineStr">
        <is>
          <t>SÖDERKÖPING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46303</v>
      </c>
      <c r="F279" t="inlineStr">
        <is>
          <t>ÖSTERGÖTLANDS LÄN</t>
        </is>
      </c>
      <c r="G279" t="inlineStr">
        <is>
          <t>SÖDERKÖPING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46303</v>
      </c>
      <c r="F280" t="inlineStr">
        <is>
          <t>ÖSTERGÖTLANDS LÄN</t>
        </is>
      </c>
      <c r="G280" t="inlineStr">
        <is>
          <t>SÖDERKÖPING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46303</v>
      </c>
      <c r="F281" t="inlineStr">
        <is>
          <t>ÖSTERGÖTLANDS LÄN</t>
        </is>
      </c>
      <c r="G281" t="inlineStr">
        <is>
          <t>SÖDERKÖPING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25790-2023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45090</v>
      </c>
      <c r="E282" s="1" t="n">
        <v>46303</v>
      </c>
      <c r="F282" t="inlineStr">
        <is>
          <t>ÖSTERGÖTLANDS LÄN</t>
        </is>
      </c>
      <c r="G282" t="inlineStr">
        <is>
          <t>SÖDERKÖPING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50870-2023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46303</v>
      </c>
      <c r="F283" t="inlineStr">
        <is>
          <t>ÖSTERGÖTLANDS LÄN</t>
        </is>
      </c>
      <c r="G283" t="inlineStr">
        <is>
          <t>SÖDERKÖPING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46303</v>
      </c>
      <c r="F284" t="inlineStr">
        <is>
          <t>ÖSTERGÖTLANDS LÄN</t>
        </is>
      </c>
      <c r="G284" t="inlineStr">
        <is>
          <t>SÖDERKÖPING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46303</v>
      </c>
      <c r="F285" t="inlineStr">
        <is>
          <t>ÖSTERGÖTLANDS LÄN</t>
        </is>
      </c>
      <c r="G285" t="inlineStr">
        <is>
          <t>SÖDERKÖPING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46303</v>
      </c>
      <c r="F286" t="inlineStr">
        <is>
          <t>ÖSTERGÖTLANDS LÄN</t>
        </is>
      </c>
      <c r="G286" t="inlineStr">
        <is>
          <t>SÖDERKÖPING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46171</v>
      </c>
      <c r="E287" s="1" t="n">
        <v>46303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45504</v>
      </c>
      <c r="E288" s="1" t="n">
        <v>46303</v>
      </c>
      <c r="F288" t="inlineStr">
        <is>
          <t>ÖSTERGÖTLANDS LÄN</t>
        </is>
      </c>
      <c r="G288" t="inlineStr">
        <is>
          <t>SÖDERKÖPING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20776-2023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46303</v>
      </c>
      <c r="F289" t="inlineStr">
        <is>
          <t>ÖSTERGÖTLANDS LÄN</t>
        </is>
      </c>
      <c r="G289" t="inlineStr">
        <is>
          <t>SÖDERKÖPING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61802-2022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46303</v>
      </c>
      <c r="F290" t="inlineStr">
        <is>
          <t>ÖSTERGÖTLANDS LÄN</t>
        </is>
      </c>
      <c r="G290" t="inlineStr">
        <is>
          <t>SÖDERKÖPING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46219</v>
      </c>
      <c r="E291" s="1" t="n">
        <v>46303</v>
      </c>
      <c r="F291" t="inlineStr">
        <is>
          <t>ÖSTERGÖTLANDS LÄN</t>
        </is>
      </c>
      <c r="G291" t="inlineStr">
        <is>
          <t>SÖDERKÖPING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46303</v>
      </c>
      <c r="F292" t="inlineStr">
        <is>
          <t>ÖSTERGÖTLANDS LÄN</t>
        </is>
      </c>
      <c r="G292" t="inlineStr">
        <is>
          <t>SÖDERKÖPING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46303</v>
      </c>
      <c r="F293" t="inlineStr">
        <is>
          <t>ÖSTERGÖTLANDS LÄN</t>
        </is>
      </c>
      <c r="G293" t="inlineStr">
        <is>
          <t>SÖDERKÖPING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31317-2026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46219</v>
      </c>
      <c r="E294" s="1" t="n">
        <v>46303</v>
      </c>
      <c r="F294" t="inlineStr">
        <is>
          <t>ÖSTERGÖTLANDS LÄN</t>
        </is>
      </c>
      <c r="G294" t="inlineStr">
        <is>
          <t>SÖDERKÖPING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58223-2022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44901</v>
      </c>
      <c r="E295" s="1" t="n">
        <v>46303</v>
      </c>
      <c r="F295" t="inlineStr">
        <is>
          <t>ÖSTERGÖTLANDS LÄN</t>
        </is>
      </c>
      <c r="G295" t="inlineStr">
        <is>
          <t>SÖDERKÖPING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46303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46303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Allmännings- och besparingsskogar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46303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46303</v>
      </c>
      <c r="F299" t="inlineStr">
        <is>
          <t>ÖSTERGÖTLANDS LÄN</t>
        </is>
      </c>
      <c r="G299" t="inlineStr">
        <is>
          <t>SÖDERKÖPING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46303</v>
      </c>
      <c r="F300" t="inlineStr">
        <is>
          <t>ÖSTERGÖTLANDS LÄN</t>
        </is>
      </c>
      <c r="G300" t="inlineStr">
        <is>
          <t>SÖDERKÖPING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46303</v>
      </c>
      <c r="F301" t="inlineStr">
        <is>
          <t>ÖSTERGÖTLANDS LÄN</t>
        </is>
      </c>
      <c r="G301" t="inlineStr">
        <is>
          <t>SÖDERKÖPING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46303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45756</v>
      </c>
      <c r="E303" s="1" t="n">
        <v>46303</v>
      </c>
      <c r="F303" t="inlineStr">
        <is>
          <t>ÖSTERGÖTLANDS LÄN</t>
        </is>
      </c>
      <c r="G303" t="inlineStr">
        <is>
          <t>SÖDERKÖPING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46303</v>
      </c>
      <c r="F304" t="inlineStr">
        <is>
          <t>ÖSTERGÖTLANDS LÄN</t>
        </is>
      </c>
      <c r="G304" t="inlineStr">
        <is>
          <t>SÖDERKÖPING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45295</v>
      </c>
      <c r="E305" s="1" t="n">
        <v>46303</v>
      </c>
      <c r="F305" t="inlineStr">
        <is>
          <t>ÖSTERGÖTLANDS LÄN</t>
        </is>
      </c>
      <c r="G305" t="inlineStr">
        <is>
          <t>SÖDERKÖPING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46303</v>
      </c>
      <c r="F306" t="inlineStr">
        <is>
          <t>ÖSTERGÖTLANDS LÄN</t>
        </is>
      </c>
      <c r="G306" t="inlineStr">
        <is>
          <t>SÖDERKÖPING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45218</v>
      </c>
      <c r="E307" s="1" t="n">
        <v>46303</v>
      </c>
      <c r="F307" t="inlineStr">
        <is>
          <t>ÖSTERGÖTLANDS LÄN</t>
        </is>
      </c>
      <c r="G307" t="inlineStr">
        <is>
          <t>SÖDERKÖPING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46303</v>
      </c>
      <c r="F308" t="inlineStr">
        <is>
          <t>ÖSTERGÖTLANDS LÄN</t>
        </is>
      </c>
      <c r="G308" t="inlineStr">
        <is>
          <t>SÖDERKÖPING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45055</v>
      </c>
      <c r="E309" s="1" t="n">
        <v>46303</v>
      </c>
      <c r="F309" t="inlineStr">
        <is>
          <t>ÖSTERGÖTLANDS LÄN</t>
        </is>
      </c>
      <c r="G309" t="inlineStr">
        <is>
          <t>SÖDERKÖPING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20253-2023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45055</v>
      </c>
      <c r="E310" s="1" t="n">
        <v>46303</v>
      </c>
      <c r="F310" t="inlineStr">
        <is>
          <t>ÖSTERGÖTLANDS LÄN</t>
        </is>
      </c>
      <c r="G310" t="inlineStr">
        <is>
          <t>SÖDERKÖPING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44819-2023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45190</v>
      </c>
      <c r="E311" s="1" t="n">
        <v>46303</v>
      </c>
      <c r="F311" t="inlineStr">
        <is>
          <t>ÖSTERGÖTLANDS LÄN</t>
        </is>
      </c>
      <c r="G311" t="inlineStr">
        <is>
          <t>SÖDERKÖPING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46303</v>
      </c>
      <c r="F312" t="inlineStr">
        <is>
          <t>ÖSTERGÖTLANDS LÄN</t>
        </is>
      </c>
      <c r="G312" t="inlineStr">
        <is>
          <t>SÖDERKÖPING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46303</v>
      </c>
      <c r="F313" t="inlineStr">
        <is>
          <t>ÖSTERGÖTLANDS LÄN</t>
        </is>
      </c>
      <c r="G313" t="inlineStr">
        <is>
          <t>SÖDERKÖPING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44796</v>
      </c>
      <c r="E314" s="1" t="n">
        <v>46303</v>
      </c>
      <c r="F314" t="inlineStr">
        <is>
          <t>ÖSTERGÖTLANDS LÄN</t>
        </is>
      </c>
      <c r="G314" t="inlineStr">
        <is>
          <t>SÖDERKÖPING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46303</v>
      </c>
      <c r="F315" t="inlineStr">
        <is>
          <t>ÖSTERGÖTLANDS LÄN</t>
        </is>
      </c>
      <c r="G315" t="inlineStr">
        <is>
          <t>SÖDERKÖPING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44588</v>
      </c>
      <c r="E316" s="1" t="n">
        <v>46303</v>
      </c>
      <c r="F316" t="inlineStr">
        <is>
          <t>ÖSTERGÖTLANDS LÄN</t>
        </is>
      </c>
      <c r="G316" t="inlineStr">
        <is>
          <t>SÖDERKÖPING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46303</v>
      </c>
      <c r="F317" t="inlineStr">
        <is>
          <t>ÖSTERGÖTLANDS LÄN</t>
        </is>
      </c>
      <c r="G317" t="inlineStr">
        <is>
          <t>SÖDERKÖPING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63392-2021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44508</v>
      </c>
      <c r="E318" s="1" t="n">
        <v>46303</v>
      </c>
      <c r="F318" t="inlineStr">
        <is>
          <t>ÖSTERGÖTLANDS LÄN</t>
        </is>
      </c>
      <c r="G318" t="inlineStr">
        <is>
          <t>SÖDERKÖPING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11951-2024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45376</v>
      </c>
      <c r="E319" s="1" t="n">
        <v>46303</v>
      </c>
      <c r="F319" t="inlineStr">
        <is>
          <t>ÖSTERGÖTLANDS LÄN</t>
        </is>
      </c>
      <c r="G319" t="inlineStr">
        <is>
          <t>SÖDERKÖPING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46227</v>
      </c>
      <c r="E320" s="1" t="n">
        <v>46303</v>
      </c>
      <c r="F320" t="inlineStr">
        <is>
          <t>ÖSTERGÖTLANDS LÄN</t>
        </is>
      </c>
      <c r="G320" t="inlineStr">
        <is>
          <t>SÖDERKÖPING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44965</v>
      </c>
      <c r="E321" s="1" t="n">
        <v>46303</v>
      </c>
      <c r="F321" t="inlineStr">
        <is>
          <t>ÖSTERGÖTLANDS LÄN</t>
        </is>
      </c>
      <c r="G321" t="inlineStr">
        <is>
          <t>SÖDERKÖPING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46227</v>
      </c>
      <c r="E322" s="1" t="n">
        <v>46303</v>
      </c>
      <c r="F322" t="inlineStr">
        <is>
          <t>ÖSTERGÖTLANDS LÄN</t>
        </is>
      </c>
      <c r="G322" t="inlineStr">
        <is>
          <t>SÖDERKÖPING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31793-2026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46227</v>
      </c>
      <c r="E323" s="1" t="n">
        <v>46303</v>
      </c>
      <c r="F323" t="inlineStr">
        <is>
          <t>ÖSTERGÖTLANDS LÄN</t>
        </is>
      </c>
      <c r="G323" t="inlineStr">
        <is>
          <t>SÖDERKÖPING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46303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46303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46303</v>
      </c>
      <c r="F326" t="inlineStr">
        <is>
          <t>ÖSTERGÖTLANDS LÄN</t>
        </is>
      </c>
      <c r="G326" t="inlineStr">
        <is>
          <t>SÖDERKÖPING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46241</v>
      </c>
      <c r="E327" s="1" t="n">
        <v>46303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46241</v>
      </c>
      <c r="E328" s="1" t="n">
        <v>46303</v>
      </c>
      <c r="F328" t="inlineStr">
        <is>
          <t>ÖSTERGÖTLANDS LÄN</t>
        </is>
      </c>
      <c r="G328" t="inlineStr">
        <is>
          <t>SÖDERKÖPING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46248</v>
      </c>
      <c r="E329" s="1" t="n">
        <v>46303</v>
      </c>
      <c r="F329" t="inlineStr">
        <is>
          <t>ÖSTERGÖTLANDS LÄN</t>
        </is>
      </c>
      <c r="G329" t="inlineStr">
        <is>
          <t>SÖDERKÖPING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46303</v>
      </c>
      <c r="F330" t="inlineStr">
        <is>
          <t>ÖSTERGÖTLANDS LÄN</t>
        </is>
      </c>
      <c r="G330" t="inlineStr">
        <is>
          <t>SÖDERKÖPING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46258</v>
      </c>
      <c r="E331" s="1" t="n">
        <v>46303</v>
      </c>
      <c r="F331" t="inlineStr">
        <is>
          <t>ÖSTERGÖTLANDS LÄN</t>
        </is>
      </c>
      <c r="G331" t="inlineStr">
        <is>
          <t>SÖDERKÖPING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46258</v>
      </c>
      <c r="E332" s="1" t="n">
        <v>46303</v>
      </c>
      <c r="F332" t="inlineStr">
        <is>
          <t>ÖSTERGÖTLANDS LÄN</t>
        </is>
      </c>
      <c r="G332" t="inlineStr">
        <is>
          <t>SÖDERKÖPING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46300</v>
      </c>
      <c r="E333" s="1" t="n">
        <v>46303</v>
      </c>
      <c r="F333" t="inlineStr">
        <is>
          <t>ÖSTERGÖTLANDS LÄN</t>
        </is>
      </c>
      <c r="G333" t="inlineStr">
        <is>
          <t>SÖDERKÖPING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4766-2024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45610</v>
      </c>
      <c r="E334" s="1" t="n">
        <v>46303</v>
      </c>
      <c r="F334" t="inlineStr">
        <is>
          <t>ÖSTERGÖTLANDS LÄN</t>
        </is>
      </c>
      <c r="G334" t="inlineStr">
        <is>
          <t>SÖDERKÖPING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3958-2024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45567</v>
      </c>
      <c r="E335" s="1" t="n">
        <v>46303</v>
      </c>
      <c r="F335" t="inlineStr">
        <is>
          <t>ÖSTERGÖTLANDS LÄN</t>
        </is>
      </c>
      <c r="G335" t="inlineStr">
        <is>
          <t>SÖDERKÖPING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4052-2023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45246</v>
      </c>
      <c r="E336" s="1" t="n">
        <v>46303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1568-2024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45426</v>
      </c>
      <c r="E337" s="1" t="n">
        <v>46303</v>
      </c>
      <c r="F337" t="inlineStr">
        <is>
          <t>ÖSTERGÖTLANDS LÄN</t>
        </is>
      </c>
      <c r="G337" t="inlineStr">
        <is>
          <t>SÖDERKÖPING</t>
        </is>
      </c>
      <c r="I337" t="n">
        <v>29.3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3312-2023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45195</v>
      </c>
      <c r="E338" s="1" t="n">
        <v>46303</v>
      </c>
      <c r="F338" t="inlineStr">
        <is>
          <t>ÖSTERGÖTLANDS LÄN</t>
        </is>
      </c>
      <c r="G338" t="inlineStr">
        <is>
          <t>SÖDERKÖPING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1540-2026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46168</v>
      </c>
      <c r="E339" s="1" t="n">
        <v>46303</v>
      </c>
      <c r="F339" t="inlineStr">
        <is>
          <t>ÖSTERGÖTLANDS LÄN</t>
        </is>
      </c>
      <c r="G339" t="inlineStr">
        <is>
          <t>SÖDERKÖPING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2026-10-08T02:07:06Z</dcterms:created>
  <dcterms:modified xmlns:dcterms="http://purl.org/dc/terms/" xmlns:xsi="http://www.w3.org/2001/XMLSchema-instance" xsi:type="dcterms:W3CDTF">2026-10-08T02:07:07Z</dcterms:modified>
</cp:coreProperties>
</file>