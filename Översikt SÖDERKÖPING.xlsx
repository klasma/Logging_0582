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23061-2026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46308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4.2</v>
      </c>
      <c r="J3" t="n">
        <v>2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24</v>
      </c>
      <c r="U3" t="n">
        <v>11</v>
      </c>
      <c r="V3" s="2" t="inlineStr">
        <is>
          <t>Knärot
Dropptaggsvamp
Dvärgbägarlav
Motaggsvamp
Vedskivlav
Blodticka
Blåmossa
Flagellkvastmossa
Grönpyrola
Mindre märgborre
Tjäder</t>
        </is>
      </c>
      <c r="W3">
        <f>HYPERLINK("https://klasma.github.io/Logging_0582/artfynd/A 23061-2026 artfynd.xlsx", "A 23061-2026")</f>
        <v/>
      </c>
      <c r="X3">
        <f>HYPERLINK("https://klasma.github.io/Logging_0582/kartor/A 23061-2026 karta.png", "A 23061-2026")</f>
        <v/>
      </c>
      <c r="Y3">
        <f>HYPERLINK("https://klasma.github.io/Logging_0582/kartor_geotiff/A 23061-2026 georefererad karta.tif", "A 23061-2026")</f>
        <v/>
      </c>
      <c r="Z3">
        <f>HYPERLINK("https://klasma.github.io/Logging_0582/knärot/A 23061-2026 karta knärot.png", "A 23061-2026")</f>
        <v/>
      </c>
      <c r="AA3">
        <f>HYPERLINK("https://klasma.github.io/Logging_0582/klagomål/A 23061-2026 FSC-klagomål.docx", "A 23061-2026")</f>
        <v/>
      </c>
      <c r="AB3">
        <f>HYPERLINK("https://klasma.github.io/Logging_0582/klagomålsmail/A 23061-2026 FSC-klagomål mail.docx", "A 23061-2026")</f>
        <v/>
      </c>
      <c r="AC3">
        <f>HYPERLINK("https://klasma.github.io/Logging_0582/tillsyn/A 23061-2026 tillsynsbegäran.docx", "A 23061-2026")</f>
        <v/>
      </c>
      <c r="AD3">
        <f>HYPERLINK("https://klasma.github.io/Logging_0582/tillsynsmail/A 23061-2026 tillsynsbegäran mail.docx", "A 23061-2026")</f>
        <v/>
      </c>
      <c r="AE3">
        <f>HYPERLINK("https://klasma.github.io/Logging_0582/fåglar/A 23061-2026 prioriterade fågelarter.docx", "A 23061-2026")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46308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46308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35034-2026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46259</v>
      </c>
      <c r="E9" s="1" t="n">
        <v>46308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Allmännings- och besparingsskogar</t>
        </is>
      </c>
      <c r="I9" t="n">
        <v>1.1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Talltita
Blåmossa
Mindre märgborre
Spillkråka
Tjäder</t>
        </is>
      </c>
      <c r="W9">
        <f>HYPERLINK("https://klasma.github.io/Logging_0582/artfynd/A 35034-2026 artfynd.xlsx", "A 35034-2026")</f>
        <v/>
      </c>
      <c r="X9">
        <f>HYPERLINK("https://klasma.github.io/Logging_0582/kartor/A 35034-2026 karta.png", "A 35034-2026")</f>
        <v/>
      </c>
      <c r="Y9">
        <f>HYPERLINK("https://klasma.github.io/Logging_0582/kartor_geotiff/A 35034-2026 georefererad karta.tif", "A 35034-2026")</f>
        <v/>
      </c>
      <c r="AA9">
        <f>HYPERLINK("https://klasma.github.io/Logging_0582/klagomål/A 35034-2026 FSC-klagomål.docx", "A 35034-2026")</f>
        <v/>
      </c>
      <c r="AB9">
        <f>HYPERLINK("https://klasma.github.io/Logging_0582/klagomålsmail/A 35034-2026 FSC-klagomål mail.docx", "A 35034-2026")</f>
        <v/>
      </c>
      <c r="AC9">
        <f>HYPERLINK("https://klasma.github.io/Logging_0582/tillsyn/A 35034-2026 tillsynsbegäran.docx", "A 35034-2026")</f>
        <v/>
      </c>
      <c r="AD9">
        <f>HYPERLINK("https://klasma.github.io/Logging_0582/tillsynsmail/A 35034-2026 tillsynsbegäran mail.docx", "A 35034-2026")</f>
        <v/>
      </c>
      <c r="AE9">
        <f>HYPERLINK("https://klasma.github.io/Logging_0582/fåglar/A 35034-2026 prioriterade fågelarter.docx", "A 35034-2026")</f>
        <v/>
      </c>
    </row>
    <row r="10" ht="15" customHeight="1">
      <c r="A10" t="inlineStr">
        <is>
          <t>A 56879-2023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45244</v>
      </c>
      <c r="E10" s="1" t="n">
        <v>46308</v>
      </c>
      <c r="F10" t="inlineStr">
        <is>
          <t>ÖSTERGÖTLANDS LÄN</t>
        </is>
      </c>
      <c r="G10" t="inlineStr">
        <is>
          <t>SÖDERKÖPING</t>
        </is>
      </c>
      <c r="I10" t="n">
        <v>1</v>
      </c>
      <c r="J10" t="n">
        <v>0</v>
      </c>
      <c r="K10" t="n">
        <v>3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Gammelekslav
Gul dropplav
Grå skärelav
Gulpudrad spiklav
Rostfläck</t>
        </is>
      </c>
      <c r="W10">
        <f>HYPERLINK("https://klasma.github.io/Logging_0582/artfynd/A 56879-2023 artfynd.xlsx", "A 56879-2023")</f>
        <v/>
      </c>
      <c r="X10">
        <f>HYPERLINK("https://klasma.github.io/Logging_0582/kartor/A 56879-2023 karta.png", "A 56879-2023")</f>
        <v/>
      </c>
      <c r="Y10">
        <f>HYPERLINK("https://klasma.github.io/Logging_0582/kartor_geotiff/A 56879-2023 georefererad karta.tif", "A 56879-2023")</f>
        <v/>
      </c>
      <c r="AA10">
        <f>HYPERLINK("https://klasma.github.io/Logging_0582/klagomål/A 56879-2023 FSC-klagomål.docx", "A 56879-2023")</f>
        <v/>
      </c>
      <c r="AB10">
        <f>HYPERLINK("https://klasma.github.io/Logging_0582/klagomålsmail/A 56879-2023 FSC-klagomål mail.docx", "A 56879-2023")</f>
        <v/>
      </c>
      <c r="AC10">
        <f>HYPERLINK("https://klasma.github.io/Logging_0582/tillsyn/A 56879-2023 tillsynsbegäran.docx", "A 56879-2023")</f>
        <v/>
      </c>
      <c r="AD10">
        <f>HYPERLINK("https://klasma.github.io/Logging_0582/tillsynsmail/A 56879-2023 tillsynsbegäran mail.docx", "A 56879-2023")</f>
        <v/>
      </c>
    </row>
    <row r="11" ht="15" customHeight="1">
      <c r="A11" t="inlineStr">
        <is>
          <t>A 23100-2026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46161</v>
      </c>
      <c r="E11" s="1" t="n">
        <v>46308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Holmen skog AB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8</v>
      </c>
      <c r="U11" t="n">
        <v>6</v>
      </c>
      <c r="V11" s="2" t="inlineStr">
        <is>
          <t>Hyacintvaxskivling
Kattfotslav
Brandticka
Glansfläck
Skriftlav</t>
        </is>
      </c>
      <c r="W11">
        <f>HYPERLINK("https://klasma.github.io/Logging_0582/artfynd/A 23100-2026 artfynd.xlsx", "A 23100-2026")</f>
        <v/>
      </c>
      <c r="X11">
        <f>HYPERLINK("https://klasma.github.io/Logging_0582/kartor/A 23100-2026 karta.png", "A 23100-2026")</f>
        <v/>
      </c>
      <c r="Y11">
        <f>HYPERLINK("https://klasma.github.io/Logging_0582/kartor_geotiff/A 23100-2026 georefererad karta.tif", "A 23100-2026")</f>
        <v/>
      </c>
      <c r="AA11">
        <f>HYPERLINK("https://klasma.github.io/Logging_0582/klagomål/A 23100-2026 FSC-klagomål.docx", "A 23100-2026")</f>
        <v/>
      </c>
      <c r="AB11">
        <f>HYPERLINK("https://klasma.github.io/Logging_0582/klagomålsmail/A 23100-2026 FSC-klagomål mail.docx", "A 23100-2026")</f>
        <v/>
      </c>
      <c r="AC11">
        <f>HYPERLINK("https://klasma.github.io/Logging_0582/tillsyn/A 23100-2026 tillsynsbegäran.docx", "A 23100-2026")</f>
        <v/>
      </c>
      <c r="AD11">
        <f>HYPERLINK("https://klasma.github.io/Logging_0582/tillsynsmail/A 23100-2026 tillsynsbegäran mail.docx", "A 23100-2026")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46308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46308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46308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46308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46308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46308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Tallticka
Igelkottsröksvamp</t>
        </is>
      </c>
      <c r="W17">
        <f>HYPERLINK("https://klasma.github.io/Logging_0582/artfynd/A 394-2026 artfynd.xlsx", "A 394-2026")</f>
        <v/>
      </c>
      <c r="X17">
        <f>HYPERLINK("https://klasma.github.io/Logging_0582/kartor/A 394-2026 karta.png", "A 394-2026")</f>
        <v/>
      </c>
      <c r="Y17">
        <f>HYPERLINK("https://klasma.github.io/Logging_0582/kartor_geotiff/A 394-2026 georefererad karta.tif", "A 394-2026")</f>
        <v/>
      </c>
      <c r="AA17">
        <f>HYPERLINK("https://klasma.github.io/Logging_0582/klagomål/A 394-2026 FSC-klagomål.docx", "A 394-2026")</f>
        <v/>
      </c>
      <c r="AB17">
        <f>HYPERLINK("https://klasma.github.io/Logging_0582/klagomålsmail/A 394-2026 FSC-klagomål mail.docx", "A 394-2026")</f>
        <v/>
      </c>
      <c r="AC17">
        <f>HYPERLINK("https://klasma.github.io/Logging_0582/tillsyn/A 394-2026 tillsynsbegäran.docx", "A 394-2026")</f>
        <v/>
      </c>
      <c r="AD17">
        <f>HYPERLINK("https://klasma.github.io/Logging_0582/tillsynsmail/A 394-2026 tillsynsbegäran mail.docx", "A 394-2026")</f>
        <v/>
      </c>
    </row>
    <row r="18" ht="15" customHeight="1">
      <c r="A18" t="inlineStr">
        <is>
          <t>A 7847-2026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46061</v>
      </c>
      <c r="E18" s="1" t="n">
        <v>46308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Huggorm
Vanlig snok</t>
        </is>
      </c>
      <c r="W18">
        <f>HYPERLINK("https://klasma.github.io/Logging_0582/artfynd/A 7847-2026 artfynd.xlsx", "A 7847-2026")</f>
        <v/>
      </c>
      <c r="X18">
        <f>HYPERLINK("https://klasma.github.io/Logging_0582/kartor/A 7847-2026 karta.png", "A 7847-2026")</f>
        <v/>
      </c>
      <c r="Y18">
        <f>HYPERLINK("https://klasma.github.io/Logging_0582/kartor_geotiff/A 7847-2026 georefererad karta.tif", "A 7847-2026")</f>
        <v/>
      </c>
      <c r="AA18">
        <f>HYPERLINK("https://klasma.github.io/Logging_0582/klagomål/A 7847-2026 FSC-klagomål.docx", "A 7847-2026")</f>
        <v/>
      </c>
      <c r="AB18">
        <f>HYPERLINK("https://klasma.github.io/Logging_0582/klagomålsmail/A 7847-2026 FSC-klagomål mail.docx", "A 7847-2026")</f>
        <v/>
      </c>
      <c r="AC18">
        <f>HYPERLINK("https://klasma.github.io/Logging_0582/tillsyn/A 7847-2026 tillsynsbegäran.docx", "A 7847-2026")</f>
        <v/>
      </c>
      <c r="AD18">
        <f>HYPERLINK("https://klasma.github.io/Logging_0582/tillsynsmail/A 7847-2026 tillsynsbegäran mail.docx", "A 7847-2026")</f>
        <v/>
      </c>
    </row>
    <row r="19" ht="15" customHeight="1">
      <c r="A19" t="inlineStr">
        <is>
          <t>A 37183-2025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46308</v>
      </c>
      <c r="F19" t="inlineStr">
        <is>
          <t>ÖSTERGÖTLANDS LÄN</t>
        </is>
      </c>
      <c r="G19" t="inlineStr">
        <is>
          <t>SÖDERKÖPING</t>
        </is>
      </c>
      <c r="I19" t="n">
        <v>4.8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Vedskivlav
Vanlig padda</t>
        </is>
      </c>
      <c r="W19">
        <f>HYPERLINK("https://klasma.github.io/Logging_0582/artfynd/A 37183-2025 artfynd.xlsx", "A 37183-2025")</f>
        <v/>
      </c>
      <c r="X19">
        <f>HYPERLINK("https://klasma.github.io/Logging_0582/kartor/A 37183-2025 karta.png", "A 37183-2025")</f>
        <v/>
      </c>
      <c r="Y19">
        <f>HYPERLINK("https://klasma.github.io/Logging_0582/kartor_geotiff/A 37183-2025 georefererad karta.tif", "A 37183-2025")</f>
        <v/>
      </c>
      <c r="AA19">
        <f>HYPERLINK("https://klasma.github.io/Logging_0582/klagomål/A 37183-2025 FSC-klagomål.docx", "A 37183-2025")</f>
        <v/>
      </c>
      <c r="AB19">
        <f>HYPERLINK("https://klasma.github.io/Logging_0582/klagomålsmail/A 37183-2025 FSC-klagomål mail.docx", "A 37183-2025")</f>
        <v/>
      </c>
      <c r="AC19">
        <f>HYPERLINK("https://klasma.github.io/Logging_0582/tillsyn/A 37183-2025 tillsynsbegäran.docx", "A 37183-2025")</f>
        <v/>
      </c>
      <c r="AD19">
        <f>HYPERLINK("https://klasma.github.io/Logging_0582/tillsynsmail/A 37183-2025 tillsynsbegäran mail.docx", "A 37183-2025")</f>
        <v/>
      </c>
    </row>
    <row r="20" ht="15" customHeight="1">
      <c r="A20" t="inlineStr">
        <is>
          <t>A 7879-2023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44973</v>
      </c>
      <c r="E20" s="1" t="n">
        <v>46308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HYPERLINK("https://klasma.github.io/Logging_0582/artfynd/A 7879-2023 artfynd.xlsx", "A 7879-2023")</f>
        <v/>
      </c>
      <c r="X20">
        <f>HYPERLINK("https://klasma.github.io/Logging_0582/kartor/A 7879-2023 karta.png", "A 7879-2023")</f>
        <v/>
      </c>
      <c r="Y20">
        <f>HYPERLINK("https://klasma.github.io/Logging_0582/kartor_geotiff/A 7879-2023 georefererad karta.tif", "A 7879-2023")</f>
        <v/>
      </c>
      <c r="AA20">
        <f>HYPERLINK("https://klasma.github.io/Logging_0582/klagomål/A 7879-2023 FSC-klagomål.docx", "A 7879-2023")</f>
        <v/>
      </c>
      <c r="AB20">
        <f>HYPERLINK("https://klasma.github.io/Logging_0582/klagomålsmail/A 7879-2023 FSC-klagomål mail.docx", "A 7879-2023")</f>
        <v/>
      </c>
      <c r="AC20">
        <f>HYPERLINK("https://klasma.github.io/Logging_0582/tillsyn/A 7879-2023 tillsynsbegäran.docx", "A 7879-2023")</f>
        <v/>
      </c>
      <c r="AD20">
        <f>HYPERLINK("https://klasma.github.io/Logging_0582/tillsynsmail/A 7879-2023 tillsynsbegäran mail.docx", "A 7879-2023")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46308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21648-2023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45063</v>
      </c>
      <c r="E22" s="1" t="n">
        <v>46308</v>
      </c>
      <c r="F22" t="inlineStr">
        <is>
          <t>ÖSTERGÖTLANDS LÄN</t>
        </is>
      </c>
      <c r="G22" t="inlineStr">
        <is>
          <t>SÖDERKÖPING</t>
        </is>
      </c>
      <c r="I22" t="n">
        <v>3.2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Hasselsnok
Kopparödla</t>
        </is>
      </c>
      <c r="W22">
        <f>HYPERLINK("https://klasma.github.io/Logging_0582/artfynd/A 21648-2023 artfynd.xlsx", "A 21648-2023")</f>
        <v/>
      </c>
      <c r="X22">
        <f>HYPERLINK("https://klasma.github.io/Logging_0582/kartor/A 21648-2023 karta.png", "A 21648-2023")</f>
        <v/>
      </c>
      <c r="Y22">
        <f>HYPERLINK("https://klasma.github.io/Logging_0582/kartor_geotiff/A 21648-2023 georefererad karta.tif", "A 21648-2023")</f>
        <v/>
      </c>
      <c r="AA22">
        <f>HYPERLINK("https://klasma.github.io/Logging_0582/klagomål/A 21648-2023 FSC-klagomål.docx", "A 21648-2023")</f>
        <v/>
      </c>
      <c r="AB22">
        <f>HYPERLINK("https://klasma.github.io/Logging_0582/klagomålsmail/A 21648-2023 FSC-klagomål mail.docx", "A 21648-2023")</f>
        <v/>
      </c>
      <c r="AC22">
        <f>HYPERLINK("https://klasma.github.io/Logging_0582/tillsyn/A 21648-2023 tillsynsbegäran.docx", "A 21648-2023")</f>
        <v/>
      </c>
      <c r="AD22">
        <f>HYPERLINK("https://klasma.github.io/Logging_0582/tillsynsmail/A 21648-2023 tillsynsbegäran mail.docx", "A 21648-2023")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46308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46308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46308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50708-2024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45601</v>
      </c>
      <c r="E26" s="1" t="n">
        <v>46308</v>
      </c>
      <c r="F26" t="inlineStr">
        <is>
          <t>ÖSTERGÖTLANDS LÄN</t>
        </is>
      </c>
      <c r="G26" t="inlineStr">
        <is>
          <t>SÖDERKÖPING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HYPERLINK("https://klasma.github.io/Logging_0582/artfynd/A 50708-2024 artfynd.xlsx", "A 50708-2024")</f>
        <v/>
      </c>
      <c r="X26">
        <f>HYPERLINK("https://klasma.github.io/Logging_0582/kartor/A 50708-2024 karta.png", "A 50708-2024")</f>
        <v/>
      </c>
      <c r="Y26">
        <f>HYPERLINK("https://klasma.github.io/Logging_0582/kartor_geotiff/A 50708-2024 georefererad karta.tif", "A 50708-2024")</f>
        <v/>
      </c>
      <c r="AA26">
        <f>HYPERLINK("https://klasma.github.io/Logging_0582/klagomål/A 50708-2024 FSC-klagomål.docx", "A 50708-2024")</f>
        <v/>
      </c>
      <c r="AB26">
        <f>HYPERLINK("https://klasma.github.io/Logging_0582/klagomålsmail/A 50708-2024 FSC-klagomål mail.docx", "A 50708-2024")</f>
        <v/>
      </c>
      <c r="AC26">
        <f>HYPERLINK("https://klasma.github.io/Logging_0582/tillsyn/A 50708-2024 tillsynsbegäran.docx", "A 50708-2024")</f>
        <v/>
      </c>
      <c r="AD26">
        <f>HYPERLINK("https://klasma.github.io/Logging_0582/tillsynsmail/A 50708-2024 tillsynsbegäran mail.docx", "A 50708-2024")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46308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38709-2026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46283</v>
      </c>
      <c r="E28" s="1" t="n">
        <v>46308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9.5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HYPERLINK("https://klasma.github.io/Logging_0582/artfynd/A 38709-2026 artfynd.xlsx", "A 38709-2026")</f>
        <v/>
      </c>
      <c r="X28">
        <f>HYPERLINK("https://klasma.github.io/Logging_0582/kartor/A 38709-2026 karta.png", "A 38709-2026")</f>
        <v/>
      </c>
      <c r="Y28">
        <f>HYPERLINK("https://klasma.github.io/Logging_0582/kartor_geotiff/A 38709-2026 georefererad karta.tif", "A 38709-2026")</f>
        <v/>
      </c>
      <c r="AA28">
        <f>HYPERLINK("https://klasma.github.io/Logging_0582/klagomål/A 38709-2026 FSC-klagomål.docx", "A 38709-2026")</f>
        <v/>
      </c>
      <c r="AB28">
        <f>HYPERLINK("https://klasma.github.io/Logging_0582/klagomålsmail/A 38709-2026 FSC-klagomål mail.docx", "A 38709-2026")</f>
        <v/>
      </c>
      <c r="AC28">
        <f>HYPERLINK("https://klasma.github.io/Logging_0582/tillsyn/A 38709-2026 tillsynsbegäran.docx", "A 38709-2026")</f>
        <v/>
      </c>
      <c r="AD28">
        <f>HYPERLINK("https://klasma.github.io/Logging_0582/tillsynsmail/A 38709-2026 tillsynsbegäran mail.docx", "A 38709-2026")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46308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354-2024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45295</v>
      </c>
      <c r="E30" s="1" t="n">
        <v>46308</v>
      </c>
      <c r="F30" t="inlineStr">
        <is>
          <t>ÖSTERGÖTLANDS LÄN</t>
        </is>
      </c>
      <c r="G30" t="inlineStr">
        <is>
          <t>SÖDERKÖPING</t>
        </is>
      </c>
      <c r="I30" t="n">
        <v>10.2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Rödlånke</t>
        </is>
      </c>
      <c r="W30">
        <f>HYPERLINK("https://klasma.github.io/Logging_0582/artfynd/A 354-2024 artfynd.xlsx", "A 354-2024")</f>
        <v/>
      </c>
      <c r="X30">
        <f>HYPERLINK("https://klasma.github.io/Logging_0582/kartor/A 354-2024 karta.png", "A 354-2024")</f>
        <v/>
      </c>
      <c r="Y30">
        <f>HYPERLINK("https://klasma.github.io/Logging_0582/kartor_geotiff/A 354-2024 georefererad karta.tif", "A 354-2024")</f>
        <v/>
      </c>
      <c r="AA30">
        <f>HYPERLINK("https://klasma.github.io/Logging_0582/klagomål/A 354-2024 FSC-klagomål.docx", "A 354-2024")</f>
        <v/>
      </c>
      <c r="AB30">
        <f>HYPERLINK("https://klasma.github.io/Logging_0582/klagomålsmail/A 354-2024 FSC-klagomål mail.docx", "A 354-2024")</f>
        <v/>
      </c>
      <c r="AC30">
        <f>HYPERLINK("https://klasma.github.io/Logging_0582/tillsyn/A 354-2024 tillsynsbegäran.docx", "A 354-2024")</f>
        <v/>
      </c>
      <c r="AD30">
        <f>HYPERLINK("https://klasma.github.io/Logging_0582/tillsynsmail/A 354-2024 tillsynsbegäran mail.docx", "A 354-2024")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46308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46308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46308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46308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46308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46308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46308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46308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46308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46308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46308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46308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46308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46308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46308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46308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46308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46308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46308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46308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46308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46308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46308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46308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46308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46308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58372-2023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45250</v>
      </c>
      <c r="E57" s="1" t="n">
        <v>46308</v>
      </c>
      <c r="F57" t="inlineStr">
        <is>
          <t>ÖSTERGÖTLANDS LÄN</t>
        </is>
      </c>
      <c r="G57" t="inlineStr">
        <is>
          <t>SÖDERKÖPING</t>
        </is>
      </c>
      <c r="H57" t="inlineStr">
        <is>
          <t>Holmen skog AB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45181</v>
      </c>
      <c r="E58" s="1" t="n">
        <v>46308</v>
      </c>
      <c r="F58" t="inlineStr">
        <is>
          <t>ÖSTERGÖTLANDS LÄN</t>
        </is>
      </c>
      <c r="G58" t="inlineStr">
        <is>
          <t>SÖDERKÖPING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39854-2025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46308</v>
      </c>
      <c r="F59" t="inlineStr">
        <is>
          <t>ÖSTERGÖTLANDS LÄN</t>
        </is>
      </c>
      <c r="G59" t="inlineStr">
        <is>
          <t>SÖDERKÖPING</t>
        </is>
      </c>
      <c r="I59" t="n">
        <v>26.6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47419-2024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46308</v>
      </c>
      <c r="F60" t="inlineStr">
        <is>
          <t>ÖSTERGÖTLANDS LÄN</t>
        </is>
      </c>
      <c r="G60" t="inlineStr">
        <is>
          <t>SÖDERKÖPING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11673-2023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44994</v>
      </c>
      <c r="E61" s="1" t="n">
        <v>46308</v>
      </c>
      <c r="F61" t="inlineStr">
        <is>
          <t>ÖSTERGÖTLANDS LÄN</t>
        </is>
      </c>
      <c r="G61" t="inlineStr">
        <is>
          <t>SÖDERKÖPING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26594-2023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46308</v>
      </c>
      <c r="F62" t="inlineStr">
        <is>
          <t>ÖSTERGÖTLANDS LÄN</t>
        </is>
      </c>
      <c r="G62" t="inlineStr">
        <is>
          <t>SÖDERKÖPING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46308</v>
      </c>
      <c r="F63" t="inlineStr">
        <is>
          <t>ÖSTERGÖTLANDS LÄN</t>
        </is>
      </c>
      <c r="G63" t="inlineStr">
        <is>
          <t>SÖDERKÖPING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46308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41958-2023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46308</v>
      </c>
      <c r="F65" t="inlineStr">
        <is>
          <t>ÖSTERGÖTLANDS LÄN</t>
        </is>
      </c>
      <c r="G65" t="inlineStr">
        <is>
          <t>SÖDERKÖPING</t>
        </is>
      </c>
      <c r="I65" t="n">
        <v>15.3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44572</v>
      </c>
      <c r="E66" s="1" t="n">
        <v>46308</v>
      </c>
      <c r="F66" t="inlineStr">
        <is>
          <t>ÖSTERGÖTLANDS LÄN</t>
        </is>
      </c>
      <c r="G66" t="inlineStr">
        <is>
          <t>SÖDERKÖPING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46308</v>
      </c>
      <c r="F67" t="inlineStr">
        <is>
          <t>ÖSTERGÖTLANDS LÄN</t>
        </is>
      </c>
      <c r="G67" t="inlineStr">
        <is>
          <t>SÖDERKÖPING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24690-2026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46171</v>
      </c>
      <c r="E68" s="1" t="n">
        <v>46308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Holmen skog AB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24875-2026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46174</v>
      </c>
      <c r="E69" s="1" t="n">
        <v>46308</v>
      </c>
      <c r="F69" t="inlineStr">
        <is>
          <t>ÖSTERGÖTLANDS LÄN</t>
        </is>
      </c>
      <c r="G69" t="inlineStr">
        <is>
          <t>SÖDERKÖPING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46308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Holmen skog AB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46308</v>
      </c>
      <c r="F71" t="inlineStr">
        <is>
          <t>ÖSTERGÖTLANDS LÄN</t>
        </is>
      </c>
      <c r="G71" t="inlineStr">
        <is>
          <t>SÖDERKÖPING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45595</v>
      </c>
      <c r="E72" s="1" t="n">
        <v>46308</v>
      </c>
      <c r="F72" t="inlineStr">
        <is>
          <t>ÖSTERGÖTLANDS LÄN</t>
        </is>
      </c>
      <c r="G72" t="inlineStr">
        <is>
          <t>SÖDERKÖPING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45648-2025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46308</v>
      </c>
      <c r="F73" t="inlineStr">
        <is>
          <t>ÖSTERGÖTLANDS LÄN</t>
        </is>
      </c>
      <c r="G73" t="inlineStr">
        <is>
          <t>SÖDERKÖPING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45922</v>
      </c>
      <c r="E74" s="1" t="n">
        <v>46308</v>
      </c>
      <c r="F74" t="inlineStr">
        <is>
          <t>ÖSTERGÖTLANDS LÄN</t>
        </is>
      </c>
      <c r="G74" t="inlineStr">
        <is>
          <t>SÖDERKÖPING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46308</v>
      </c>
      <c r="F75" t="inlineStr">
        <is>
          <t>ÖSTERGÖTLANDS LÄN</t>
        </is>
      </c>
      <c r="G75" t="inlineStr">
        <is>
          <t>SÖDERKÖPING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46308</v>
      </c>
      <c r="F76" t="inlineStr">
        <is>
          <t>ÖSTERGÖTLANDS LÄN</t>
        </is>
      </c>
      <c r="G76" t="inlineStr">
        <is>
          <t>SÖDERKÖPING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46308</v>
      </c>
      <c r="F77" t="inlineStr">
        <is>
          <t>ÖSTERGÖTLANDS LÄN</t>
        </is>
      </c>
      <c r="G77" t="inlineStr">
        <is>
          <t>SÖDERKÖPING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45174</v>
      </c>
      <c r="E78" s="1" t="n">
        <v>46308</v>
      </c>
      <c r="F78" t="inlineStr">
        <is>
          <t>ÖSTERGÖTLANDS LÄN</t>
        </is>
      </c>
      <c r="G78" t="inlineStr">
        <is>
          <t>SÖDERKÖPING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46308</v>
      </c>
      <c r="F79" t="inlineStr">
        <is>
          <t>ÖSTERGÖTLANDS LÄN</t>
        </is>
      </c>
      <c r="G79" t="inlineStr">
        <is>
          <t>SÖDERKÖPING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46153</v>
      </c>
      <c r="E80" s="1" t="n">
        <v>46308</v>
      </c>
      <c r="F80" t="inlineStr">
        <is>
          <t>ÖSTERGÖTLANDS LÄN</t>
        </is>
      </c>
      <c r="G80" t="inlineStr">
        <is>
          <t>SÖDERKÖPING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46308</v>
      </c>
      <c r="F81" t="inlineStr">
        <is>
          <t>ÖSTERGÖTLANDS LÄN</t>
        </is>
      </c>
      <c r="G81" t="inlineStr">
        <is>
          <t>SÖDERKÖPING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46308</v>
      </c>
      <c r="F82" t="inlineStr">
        <is>
          <t>ÖSTERGÖTLANDS LÄN</t>
        </is>
      </c>
      <c r="G82" t="inlineStr">
        <is>
          <t>SÖDERKÖPING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459-2024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45297</v>
      </c>
      <c r="E83" s="1" t="n">
        <v>46308</v>
      </c>
      <c r="F83" t="inlineStr">
        <is>
          <t>ÖSTERGÖTLANDS LÄN</t>
        </is>
      </c>
      <c r="G83" t="inlineStr">
        <is>
          <t>SÖDERKÖPING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12708-2024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45379</v>
      </c>
      <c r="E84" s="1" t="n">
        <v>46308</v>
      </c>
      <c r="F84" t="inlineStr">
        <is>
          <t>ÖSTERGÖTLANDS LÄN</t>
        </is>
      </c>
      <c r="G84" t="inlineStr">
        <is>
          <t>SÖDERKÖPING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46308</v>
      </c>
      <c r="F85" t="inlineStr">
        <is>
          <t>ÖSTERGÖTLANDS LÄN</t>
        </is>
      </c>
      <c r="G85" t="inlineStr">
        <is>
          <t>SÖDERKÖPING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46308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26439-2026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46183</v>
      </c>
      <c r="E87" s="1" t="n">
        <v>46308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26573-2026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46183</v>
      </c>
      <c r="E88" s="1" t="n">
        <v>46308</v>
      </c>
      <c r="F88" t="inlineStr">
        <is>
          <t>ÖSTERGÖTLANDS LÄN</t>
        </is>
      </c>
      <c r="G88" t="inlineStr">
        <is>
          <t>SÖDERKÖPING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26576-2026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46183</v>
      </c>
      <c r="E89" s="1" t="n">
        <v>46308</v>
      </c>
      <c r="F89" t="inlineStr">
        <is>
          <t>ÖSTERGÖTLANDS LÄN</t>
        </is>
      </c>
      <c r="G89" t="inlineStr">
        <is>
          <t>SÖDERKÖPING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46308</v>
      </c>
      <c r="F90" t="inlineStr">
        <is>
          <t>ÖSTERGÖTLANDS LÄN</t>
        </is>
      </c>
      <c r="G90" t="inlineStr">
        <is>
          <t>SÖDERKÖPING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46183</v>
      </c>
      <c r="E91" s="1" t="n">
        <v>46308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46183</v>
      </c>
      <c r="E92" s="1" t="n">
        <v>46308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26550-2026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46183</v>
      </c>
      <c r="E93" s="1" t="n">
        <v>46308</v>
      </c>
      <c r="F93" t="inlineStr">
        <is>
          <t>ÖSTERGÖTLANDS LÄN</t>
        </is>
      </c>
      <c r="G93" t="inlineStr">
        <is>
          <t>SÖDERKÖPING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46183</v>
      </c>
      <c r="E94" s="1" t="n">
        <v>46308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46308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45687</v>
      </c>
      <c r="E96" s="1" t="n">
        <v>46308</v>
      </c>
      <c r="F96" t="inlineStr">
        <is>
          <t>ÖSTERGÖTLANDS LÄN</t>
        </is>
      </c>
      <c r="G96" t="inlineStr">
        <is>
          <t>SÖDERKÖPING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45197</v>
      </c>
      <c r="E97" s="1" t="n">
        <v>46308</v>
      </c>
      <c r="F97" t="inlineStr">
        <is>
          <t>ÖSTERGÖTLANDS LÄN</t>
        </is>
      </c>
      <c r="G97" t="inlineStr">
        <is>
          <t>SÖDERKÖPING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22471-2026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46308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63392-2021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46308</v>
      </c>
      <c r="F99" t="inlineStr">
        <is>
          <t>ÖSTERGÖTLANDS LÄN</t>
        </is>
      </c>
      <c r="G99" t="inlineStr">
        <is>
          <t>SÖDERKÖPING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45055</v>
      </c>
      <c r="E100" s="1" t="n">
        <v>46308</v>
      </c>
      <c r="F100" t="inlineStr">
        <is>
          <t>ÖSTERGÖTLANDS LÄN</t>
        </is>
      </c>
      <c r="G100" t="inlineStr">
        <is>
          <t>SÖDERKÖPING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45297</v>
      </c>
      <c r="E101" s="1" t="n">
        <v>46308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28383-2026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46196</v>
      </c>
      <c r="E102" s="1" t="n">
        <v>46308</v>
      </c>
      <c r="F102" t="inlineStr">
        <is>
          <t>ÖSTERGÖTLANDS LÄN</t>
        </is>
      </c>
      <c r="G102" t="inlineStr">
        <is>
          <t>SÖDERKÖPING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50873-2023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45218</v>
      </c>
      <c r="E103" s="1" t="n">
        <v>46308</v>
      </c>
      <c r="F103" t="inlineStr">
        <is>
          <t>ÖSTERGÖTLANDS LÄN</t>
        </is>
      </c>
      <c r="G103" t="inlineStr">
        <is>
          <t>SÖDERKÖPING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45701</v>
      </c>
      <c r="E104" s="1" t="n">
        <v>46308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26915-2023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46308</v>
      </c>
      <c r="F105" t="inlineStr">
        <is>
          <t>ÖSTERGÖTLANDS LÄN</t>
        </is>
      </c>
      <c r="G105" t="inlineStr">
        <is>
          <t>SÖDERKÖPING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46308</v>
      </c>
      <c r="F106" t="inlineStr">
        <is>
          <t>ÖSTERGÖTLANDS LÄN</t>
        </is>
      </c>
      <c r="G106" t="inlineStr">
        <is>
          <t>SÖDERKÖPING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45961</v>
      </c>
      <c r="E107" s="1" t="n">
        <v>46308</v>
      </c>
      <c r="F107" t="inlineStr">
        <is>
          <t>ÖSTERGÖTLANDS LÄN</t>
        </is>
      </c>
      <c r="G107" t="inlineStr">
        <is>
          <t>SÖDERKÖPING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45700</v>
      </c>
      <c r="E108" s="1" t="n">
        <v>46308</v>
      </c>
      <c r="F108" t="inlineStr">
        <is>
          <t>ÖSTERGÖTLANDS LÄN</t>
        </is>
      </c>
      <c r="G108" t="inlineStr">
        <is>
          <t>SÖDERKÖPING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46206</v>
      </c>
      <c r="E109" s="1" t="n">
        <v>46308</v>
      </c>
      <c r="F109" t="inlineStr">
        <is>
          <t>ÖSTERGÖTLANDS LÄN</t>
        </is>
      </c>
      <c r="G109" t="inlineStr">
        <is>
          <t>SÖDERKÖPING</t>
        </is>
      </c>
      <c r="I109" t="n">
        <v>18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56163-2025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46308</v>
      </c>
      <c r="F110" t="inlineStr">
        <is>
          <t>ÖSTERGÖTLANDS LÄN</t>
        </is>
      </c>
      <c r="G110" t="inlineStr">
        <is>
          <t>SÖDERKÖPING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9729-2023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44984</v>
      </c>
      <c r="E111" s="1" t="n">
        <v>46308</v>
      </c>
      <c r="F111" t="inlineStr">
        <is>
          <t>ÖSTERGÖTLANDS LÄN</t>
        </is>
      </c>
      <c r="G111" t="inlineStr">
        <is>
          <t>SÖDERKÖPING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46308</v>
      </c>
      <c r="F112" t="inlineStr">
        <is>
          <t>ÖSTERGÖTLANDS LÄN</t>
        </is>
      </c>
      <c r="G112" t="inlineStr">
        <is>
          <t>SÖDERKÖPING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46308</v>
      </c>
      <c r="F113" t="inlineStr">
        <is>
          <t>ÖSTERGÖTLANDS LÄN</t>
        </is>
      </c>
      <c r="G113" t="inlineStr">
        <is>
          <t>SÖDERKÖPING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45751</v>
      </c>
      <c r="E114" s="1" t="n">
        <v>46308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45504</v>
      </c>
      <c r="E115" s="1" t="n">
        <v>46308</v>
      </c>
      <c r="F115" t="inlineStr">
        <is>
          <t>ÖSTERGÖTLANDS LÄN</t>
        </is>
      </c>
      <c r="G115" t="inlineStr">
        <is>
          <t>SÖDERKÖPING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31312-2024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45504</v>
      </c>
      <c r="E116" s="1" t="n">
        <v>46308</v>
      </c>
      <c r="F116" t="inlineStr">
        <is>
          <t>ÖSTERGÖTLANDS LÄN</t>
        </is>
      </c>
      <c r="G116" t="inlineStr">
        <is>
          <t>SÖDERKÖPING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20310-2024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45435</v>
      </c>
      <c r="E117" s="1" t="n">
        <v>46308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50574-2024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45601</v>
      </c>
      <c r="E118" s="1" t="n">
        <v>46308</v>
      </c>
      <c r="F118" t="inlineStr">
        <is>
          <t>ÖSTERGÖTLANDS LÄN</t>
        </is>
      </c>
      <c r="G118" t="inlineStr">
        <is>
          <t>SÖDERKÖPING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45692</v>
      </c>
      <c r="E119" s="1" t="n">
        <v>46308</v>
      </c>
      <c r="F119" t="inlineStr">
        <is>
          <t>ÖSTERGÖTLANDS LÄN</t>
        </is>
      </c>
      <c r="G119" t="inlineStr">
        <is>
          <t>SÖDERKÖPING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31305-2024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45504</v>
      </c>
      <c r="E120" s="1" t="n">
        <v>46308</v>
      </c>
      <c r="F120" t="inlineStr">
        <is>
          <t>ÖSTERGÖTLANDS LÄN</t>
        </is>
      </c>
      <c r="G120" t="inlineStr">
        <is>
          <t>SÖDERKÖPING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45504</v>
      </c>
      <c r="E121" s="1" t="n">
        <v>46308</v>
      </c>
      <c r="F121" t="inlineStr">
        <is>
          <t>ÖSTERGÖTLANDS LÄN</t>
        </is>
      </c>
      <c r="G121" t="inlineStr">
        <is>
          <t>SÖDERKÖPING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43495-2023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45184</v>
      </c>
      <c r="E122" s="1" t="n">
        <v>46308</v>
      </c>
      <c r="F122" t="inlineStr">
        <is>
          <t>ÖSTERGÖTLANDS LÄN</t>
        </is>
      </c>
      <c r="G122" t="inlineStr">
        <is>
          <t>SÖDERKÖPING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22918-2025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45790</v>
      </c>
      <c r="E123" s="1" t="n">
        <v>46308</v>
      </c>
      <c r="F123" t="inlineStr">
        <is>
          <t>ÖSTERGÖTLANDS LÄN</t>
        </is>
      </c>
      <c r="G123" t="inlineStr">
        <is>
          <t>SÖDERKÖPING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45985</v>
      </c>
      <c r="E124" s="1" t="n">
        <v>46308</v>
      </c>
      <c r="F124" t="inlineStr">
        <is>
          <t>ÖSTERGÖTLANDS LÄN</t>
        </is>
      </c>
      <c r="G124" t="inlineStr">
        <is>
          <t>SÖDERKÖPING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23451-2025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46308</v>
      </c>
      <c r="F125" t="inlineStr">
        <is>
          <t>ÖSTERGÖTLANDS LÄN</t>
        </is>
      </c>
      <c r="G125" t="inlineStr">
        <is>
          <t>SÖDERKÖPING</t>
        </is>
      </c>
      <c r="I125" t="n">
        <v>12.2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24726-2026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46171</v>
      </c>
      <c r="E126" s="1" t="n">
        <v>46308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45257</v>
      </c>
      <c r="E127" s="1" t="n">
        <v>46308</v>
      </c>
      <c r="F127" t="inlineStr">
        <is>
          <t>ÖSTERGÖTLANDS LÄN</t>
        </is>
      </c>
      <c r="G127" t="inlineStr">
        <is>
          <t>SÖDERKÖPING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46219</v>
      </c>
      <c r="E128" s="1" t="n">
        <v>46308</v>
      </c>
      <c r="F128" t="inlineStr">
        <is>
          <t>ÖSTERGÖTLANDS LÄN</t>
        </is>
      </c>
      <c r="G128" t="inlineStr">
        <is>
          <t>SÖDERKÖPING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24355-2025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45797</v>
      </c>
      <c r="E129" s="1" t="n">
        <v>46308</v>
      </c>
      <c r="F129" t="inlineStr">
        <is>
          <t>ÖSTERGÖTLANDS LÄN</t>
        </is>
      </c>
      <c r="G129" t="inlineStr">
        <is>
          <t>SÖDERKÖPING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46308</v>
      </c>
      <c r="F130" t="inlineStr">
        <is>
          <t>ÖSTERGÖTLANDS LÄN</t>
        </is>
      </c>
      <c r="G130" t="inlineStr">
        <is>
          <t>SÖDERKÖPING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31317-2026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46219</v>
      </c>
      <c r="E131" s="1" t="n">
        <v>46308</v>
      </c>
      <c r="F131" t="inlineStr">
        <is>
          <t>ÖSTERGÖTLANDS LÄN</t>
        </is>
      </c>
      <c r="G131" t="inlineStr">
        <is>
          <t>SÖDERKÖPING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45685</v>
      </c>
      <c r="E132" s="1" t="n">
        <v>46308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45692</v>
      </c>
      <c r="E133" s="1" t="n">
        <v>46308</v>
      </c>
      <c r="F133" t="inlineStr">
        <is>
          <t>ÖSTERGÖTLANDS LÄN</t>
        </is>
      </c>
      <c r="G133" t="inlineStr">
        <is>
          <t>SÖDERKÖPING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31794-2026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46227</v>
      </c>
      <c r="E134" s="1" t="n">
        <v>46308</v>
      </c>
      <c r="F134" t="inlineStr">
        <is>
          <t>ÖSTERGÖTLANDS LÄN</t>
        </is>
      </c>
      <c r="G134" t="inlineStr">
        <is>
          <t>SÖDERKÖPING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46227</v>
      </c>
      <c r="E135" s="1" t="n">
        <v>46308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31793-2026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46227</v>
      </c>
      <c r="E136" s="1" t="n">
        <v>46308</v>
      </c>
      <c r="F136" t="inlineStr">
        <is>
          <t>ÖSTERGÖTLANDS LÄN</t>
        </is>
      </c>
      <c r="G136" t="inlineStr">
        <is>
          <t>SÖDERKÖPING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45265</v>
      </c>
      <c r="E137" s="1" t="n">
        <v>46308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44939</v>
      </c>
      <c r="E138" s="1" t="n">
        <v>46308</v>
      </c>
      <c r="F138" t="inlineStr">
        <is>
          <t>ÖSTERGÖTLANDS LÄN</t>
        </is>
      </c>
      <c r="G138" t="inlineStr">
        <is>
          <t>SÖDERKÖPING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61814-2025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46003</v>
      </c>
      <c r="E139" s="1" t="n">
        <v>46308</v>
      </c>
      <c r="F139" t="inlineStr">
        <is>
          <t>ÖSTERGÖTLANDS LÄN</t>
        </is>
      </c>
      <c r="G139" t="inlineStr">
        <is>
          <t>SÖDERKÖPING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46308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61817-2025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46003</v>
      </c>
      <c r="E141" s="1" t="n">
        <v>46308</v>
      </c>
      <c r="F141" t="inlineStr">
        <is>
          <t>ÖSTERGÖTLANDS LÄN</t>
        </is>
      </c>
      <c r="G141" t="inlineStr">
        <is>
          <t>SÖDERKÖPING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46003</v>
      </c>
      <c r="E142" s="1" t="n">
        <v>46308</v>
      </c>
      <c r="F142" t="inlineStr">
        <is>
          <t>ÖSTERGÖTLANDS LÄN</t>
        </is>
      </c>
      <c r="G142" t="inlineStr">
        <is>
          <t>SÖDERKÖPING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62730-2025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46308</v>
      </c>
      <c r="F143" t="inlineStr">
        <is>
          <t>ÖSTERGÖTLANDS LÄN</t>
        </is>
      </c>
      <c r="G143" t="inlineStr">
        <is>
          <t>SÖDERKÖPING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45742</v>
      </c>
      <c r="E144" s="1" t="n">
        <v>46308</v>
      </c>
      <c r="F144" t="inlineStr">
        <is>
          <t>ÖSTERGÖTLANDS LÄN</t>
        </is>
      </c>
      <c r="G144" t="inlineStr">
        <is>
          <t>SÖDERKÖPING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62724-2025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46008</v>
      </c>
      <c r="E145" s="1" t="n">
        <v>46308</v>
      </c>
      <c r="F145" t="inlineStr">
        <is>
          <t>ÖSTERGÖTLANDS LÄN</t>
        </is>
      </c>
      <c r="G145" t="inlineStr">
        <is>
          <t>SÖDERKÖPING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28482-2025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46308</v>
      </c>
      <c r="F146" t="inlineStr">
        <is>
          <t>ÖSTERGÖTLANDS LÄN</t>
        </is>
      </c>
      <c r="G146" t="inlineStr">
        <is>
          <t>SÖDERKÖPING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28487-2025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46308</v>
      </c>
      <c r="F147" t="inlineStr">
        <is>
          <t>ÖSTERGÖTLANDS LÄN</t>
        </is>
      </c>
      <c r="G147" t="inlineStr">
        <is>
          <t>SÖDERKÖPING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46308</v>
      </c>
      <c r="F148" t="inlineStr">
        <is>
          <t>ÖSTERGÖTLANDS LÄN</t>
        </is>
      </c>
      <c r="G148" t="inlineStr">
        <is>
          <t>SÖDERKÖPING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60160-2021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44495</v>
      </c>
      <c r="E149" s="1" t="n">
        <v>46308</v>
      </c>
      <c r="F149" t="inlineStr">
        <is>
          <t>ÖSTERGÖTLANDS LÄN</t>
        </is>
      </c>
      <c r="G149" t="inlineStr">
        <is>
          <t>SÖDERKÖPING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20221-2023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45055</v>
      </c>
      <c r="E150" s="1" t="n">
        <v>46308</v>
      </c>
      <c r="F150" t="inlineStr">
        <is>
          <t>ÖSTERGÖTLANDS LÄN</t>
        </is>
      </c>
      <c r="G150" t="inlineStr">
        <is>
          <t>SÖDERKÖPING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23121-2025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45791</v>
      </c>
      <c r="E151" s="1" t="n">
        <v>46308</v>
      </c>
      <c r="F151" t="inlineStr">
        <is>
          <t>ÖSTERGÖTLANDS LÄN</t>
        </is>
      </c>
      <c r="G151" t="inlineStr">
        <is>
          <t>SÖDERKÖPING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32817-2026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46241</v>
      </c>
      <c r="E152" s="1" t="n">
        <v>46308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45667</v>
      </c>
      <c r="E153" s="1" t="n">
        <v>46308</v>
      </c>
      <c r="F153" t="inlineStr">
        <is>
          <t>ÖSTERGÖTLANDS LÄN</t>
        </is>
      </c>
      <c r="G153" t="inlineStr">
        <is>
          <t>SÖDERKÖPING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34969-2025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45849</v>
      </c>
      <c r="E154" s="1" t="n">
        <v>46308</v>
      </c>
      <c r="F154" t="inlineStr">
        <is>
          <t>ÖSTERGÖTLANDS LÄN</t>
        </is>
      </c>
      <c r="G154" t="inlineStr">
        <is>
          <t>SÖDERKÖPING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34971-2025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46308</v>
      </c>
      <c r="F155" t="inlineStr">
        <is>
          <t>ÖSTERGÖTLANDS LÄN</t>
        </is>
      </c>
      <c r="G155" t="inlineStr">
        <is>
          <t>SÖDERKÖPING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46308</v>
      </c>
      <c r="F156" t="inlineStr">
        <is>
          <t>ÖSTERGÖTLANDS LÄN</t>
        </is>
      </c>
      <c r="G156" t="inlineStr">
        <is>
          <t>SÖDERKÖPING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50866-2023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46308</v>
      </c>
      <c r="F157" t="inlineStr">
        <is>
          <t>ÖSTERGÖTLANDS LÄN</t>
        </is>
      </c>
      <c r="G157" t="inlineStr">
        <is>
          <t>SÖDERKÖPING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46050</v>
      </c>
      <c r="E158" s="1" t="n">
        <v>46308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Kyrkan</t>
        </is>
      </c>
      <c r="I158" t="n">
        <v>11.7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47428-2024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46308</v>
      </c>
      <c r="F159" t="inlineStr">
        <is>
          <t>ÖSTERGÖTLANDS LÄN</t>
        </is>
      </c>
      <c r="G159" t="inlineStr">
        <is>
          <t>SÖDERKÖPING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46308</v>
      </c>
      <c r="F160" t="inlineStr">
        <is>
          <t>ÖSTERGÖTLANDS LÄN</t>
        </is>
      </c>
      <c r="G160" t="inlineStr">
        <is>
          <t>SÖDERKÖPING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46241</v>
      </c>
      <c r="E161" s="1" t="n">
        <v>46308</v>
      </c>
      <c r="F161" t="inlineStr">
        <is>
          <t>ÖSTERGÖTLANDS LÄN</t>
        </is>
      </c>
      <c r="G161" t="inlineStr">
        <is>
          <t>SÖDERKÖPING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46055</v>
      </c>
      <c r="E162" s="1" t="n">
        <v>46308</v>
      </c>
      <c r="F162" t="inlineStr">
        <is>
          <t>ÖSTERGÖTLANDS LÄN</t>
        </is>
      </c>
      <c r="G162" t="inlineStr">
        <is>
          <t>SÖDERKÖPING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46308</v>
      </c>
      <c r="F163" t="inlineStr">
        <is>
          <t>ÖSTERGÖTLANDS LÄN</t>
        </is>
      </c>
      <c r="G163" t="inlineStr">
        <is>
          <t>SÖDERKÖPING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6205-2026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46308</v>
      </c>
      <c r="F164" t="inlineStr">
        <is>
          <t>ÖSTERGÖTLANDS LÄN</t>
        </is>
      </c>
      <c r="G164" t="inlineStr">
        <is>
          <t>SÖDERKÖPING</t>
        </is>
      </c>
      <c r="H164" t="inlineStr">
        <is>
          <t>Kyrkan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44958</v>
      </c>
      <c r="E165" s="1" t="n">
        <v>46308</v>
      </c>
      <c r="F165" t="inlineStr">
        <is>
          <t>ÖSTERGÖTLANDS LÄN</t>
        </is>
      </c>
      <c r="G165" t="inlineStr">
        <is>
          <t>SÖDERKÖPING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46056</v>
      </c>
      <c r="E166" s="1" t="n">
        <v>46308</v>
      </c>
      <c r="F166" t="inlineStr">
        <is>
          <t>ÖSTERGÖTLANDS LÄN</t>
        </is>
      </c>
      <c r="G166" t="inlineStr">
        <is>
          <t>SÖDERKÖPING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46059</v>
      </c>
      <c r="E167" s="1" t="n">
        <v>46308</v>
      </c>
      <c r="F167" t="inlineStr">
        <is>
          <t>ÖSTERGÖTLANDS LÄN</t>
        </is>
      </c>
      <c r="G167" t="inlineStr">
        <is>
          <t>SÖDERKÖPING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46308</v>
      </c>
      <c r="F168" t="inlineStr">
        <is>
          <t>ÖSTERGÖTLANDS LÄN</t>
        </is>
      </c>
      <c r="G168" t="inlineStr">
        <is>
          <t>SÖDERKÖPING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7830-2026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46061</v>
      </c>
      <c r="E169" s="1" t="n">
        <v>46308</v>
      </c>
      <c r="F169" t="inlineStr">
        <is>
          <t>ÖSTERGÖTLANDS LÄN</t>
        </is>
      </c>
      <c r="G169" t="inlineStr">
        <is>
          <t>SÖDERKÖPING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46308</v>
      </c>
      <c r="F170" t="inlineStr">
        <is>
          <t>ÖSTERGÖTLANDS LÄN</t>
        </is>
      </c>
      <c r="G170" t="inlineStr">
        <is>
          <t>SÖDERKÖPING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46308</v>
      </c>
      <c r="F171" t="inlineStr">
        <is>
          <t>ÖSTERGÖTLANDS LÄN</t>
        </is>
      </c>
      <c r="G171" t="inlineStr">
        <is>
          <t>SÖDERKÖPING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46308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33649-2026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46248</v>
      </c>
      <c r="E173" s="1" t="n">
        <v>46308</v>
      </c>
      <c r="F173" t="inlineStr">
        <is>
          <t>ÖSTERGÖTLANDS LÄN</t>
        </is>
      </c>
      <c r="G173" t="inlineStr">
        <is>
          <t>SÖDERKÖPING</t>
        </is>
      </c>
      <c r="I173" t="n">
        <v>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46069</v>
      </c>
      <c r="E174" s="1" t="n">
        <v>46308</v>
      </c>
      <c r="F174" t="inlineStr">
        <is>
          <t>ÖSTERGÖTLANDS LÄN</t>
        </is>
      </c>
      <c r="G174" t="inlineStr">
        <is>
          <t>SÖDERKÖPING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37343-2025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45876</v>
      </c>
      <c r="E175" s="1" t="n">
        <v>46308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46308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16286-2023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45028</v>
      </c>
      <c r="E177" s="1" t="n">
        <v>46308</v>
      </c>
      <c r="F177" t="inlineStr">
        <is>
          <t>ÖSTERGÖTLANDS LÄN</t>
        </is>
      </c>
      <c r="G177" t="inlineStr">
        <is>
          <t>SÖDERKÖPING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11005-2026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46079</v>
      </c>
      <c r="E178" s="1" t="n">
        <v>46308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Kyrkan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46308</v>
      </c>
      <c r="F179" t="inlineStr">
        <is>
          <t>ÖSTERGÖTLANDS LÄN</t>
        </is>
      </c>
      <c r="G179" t="inlineStr">
        <is>
          <t>SÖDERKÖPING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46084</v>
      </c>
      <c r="E180" s="1" t="n">
        <v>46308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46308</v>
      </c>
      <c r="F181" t="inlineStr">
        <is>
          <t>ÖSTERGÖTLANDS LÄN</t>
        </is>
      </c>
      <c r="G181" t="inlineStr">
        <is>
          <t>SÖDERKÖPING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45265</v>
      </c>
      <c r="E182" s="1" t="n">
        <v>46308</v>
      </c>
      <c r="F182" t="inlineStr">
        <is>
          <t>ÖSTERGÖTLANDS LÄN</t>
        </is>
      </c>
      <c r="G182" t="inlineStr">
        <is>
          <t>SÖDERKÖPING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44736</v>
      </c>
      <c r="E183" s="1" t="n">
        <v>46308</v>
      </c>
      <c r="F183" t="inlineStr">
        <is>
          <t>ÖSTERGÖTLANDS LÄN</t>
        </is>
      </c>
      <c r="G183" t="inlineStr">
        <is>
          <t>SÖDERKÖPING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46308</v>
      </c>
      <c r="F184" t="inlineStr">
        <is>
          <t>ÖSTERGÖTLANDS LÄN</t>
        </is>
      </c>
      <c r="G184" t="inlineStr">
        <is>
          <t>SÖDERKÖPING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46308</v>
      </c>
      <c r="F185" t="inlineStr">
        <is>
          <t>ÖSTERGÖTLANDS LÄN</t>
        </is>
      </c>
      <c r="G185" t="inlineStr">
        <is>
          <t>SÖDERKÖPING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45663</v>
      </c>
      <c r="E186" s="1" t="n">
        <v>46308</v>
      </c>
      <c r="F186" t="inlineStr">
        <is>
          <t>ÖSTERGÖTLANDS LÄN</t>
        </is>
      </c>
      <c r="G186" t="inlineStr">
        <is>
          <t>SÖDERKÖPING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15462-2026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46308</v>
      </c>
      <c r="F187" t="inlineStr">
        <is>
          <t>ÖSTERGÖTLANDS LÄN</t>
        </is>
      </c>
      <c r="G187" t="inlineStr">
        <is>
          <t>SÖDERKÖPING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34793-2026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46308</v>
      </c>
      <c r="F188" t="inlineStr">
        <is>
          <t>ÖSTERGÖTLANDS LÄN</t>
        </is>
      </c>
      <c r="G188" t="inlineStr">
        <is>
          <t>SÖDERKÖPING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41250-2026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46300</v>
      </c>
      <c r="E189" s="1" t="n">
        <v>46308</v>
      </c>
      <c r="F189" t="inlineStr">
        <is>
          <t>ÖSTERGÖTLANDS LÄN</t>
        </is>
      </c>
      <c r="G189" t="inlineStr">
        <is>
          <t>SÖDERKÖPING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46308</v>
      </c>
      <c r="F190" t="inlineStr">
        <is>
          <t>ÖSTERGÖTLANDS LÄN</t>
        </is>
      </c>
      <c r="G190" t="inlineStr">
        <is>
          <t>SÖDERKÖPING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44819-2023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45190</v>
      </c>
      <c r="E191" s="1" t="n">
        <v>46308</v>
      </c>
      <c r="F191" t="inlineStr">
        <is>
          <t>ÖSTERGÖTLANDS LÄN</t>
        </is>
      </c>
      <c r="G191" t="inlineStr">
        <is>
          <t>SÖDERKÖPING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46308</v>
      </c>
      <c r="F192" t="inlineStr">
        <is>
          <t>ÖSTERGÖTLANDS LÄN</t>
        </is>
      </c>
      <c r="G192" t="inlineStr">
        <is>
          <t>SÖDERKÖPING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25790-2023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45090</v>
      </c>
      <c r="E193" s="1" t="n">
        <v>46308</v>
      </c>
      <c r="F193" t="inlineStr">
        <is>
          <t>ÖSTERGÖTLANDS LÄN</t>
        </is>
      </c>
      <c r="G193" t="inlineStr">
        <is>
          <t>SÖDERKÖPING</t>
        </is>
      </c>
      <c r="I193" t="n">
        <v>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46308</v>
      </c>
      <c r="F194" t="inlineStr">
        <is>
          <t>ÖSTERGÖTLANDS LÄN</t>
        </is>
      </c>
      <c r="G194" t="inlineStr">
        <is>
          <t>SÖDERKÖPING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42768-2025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45908</v>
      </c>
      <c r="E195" s="1" t="n">
        <v>46308</v>
      </c>
      <c r="F195" t="inlineStr">
        <is>
          <t>ÖSTERGÖTLANDS LÄN</t>
        </is>
      </c>
      <c r="G195" t="inlineStr">
        <is>
          <t>SÖDERKÖPING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46150</v>
      </c>
      <c r="E196" s="1" t="n">
        <v>46308</v>
      </c>
      <c r="F196" t="inlineStr">
        <is>
          <t>ÖSTERGÖTLANDS LÄN</t>
        </is>
      </c>
      <c r="G196" t="inlineStr">
        <is>
          <t>SÖDERKÖPING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46258</v>
      </c>
      <c r="E197" s="1" t="n">
        <v>46308</v>
      </c>
      <c r="F197" t="inlineStr">
        <is>
          <t>ÖSTERGÖTLANDS LÄN</t>
        </is>
      </c>
      <c r="G197" t="inlineStr">
        <is>
          <t>SÖDERKÖPING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46308</v>
      </c>
      <c r="F198" t="inlineStr">
        <is>
          <t>ÖSTERGÖTLANDS LÄN</t>
        </is>
      </c>
      <c r="G198" t="inlineStr">
        <is>
          <t>SÖDERKÖPING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45159</v>
      </c>
      <c r="E199" s="1" t="n">
        <v>46308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44754</v>
      </c>
      <c r="E200" s="1" t="n">
        <v>46308</v>
      </c>
      <c r="F200" t="inlineStr">
        <is>
          <t>ÖSTERGÖTLANDS LÄN</t>
        </is>
      </c>
      <c r="G200" t="inlineStr">
        <is>
          <t>SÖDERKÖPING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46308</v>
      </c>
      <c r="F201" t="inlineStr">
        <is>
          <t>ÖSTERGÖTLANDS LÄN</t>
        </is>
      </c>
      <c r="G201" t="inlineStr">
        <is>
          <t>SÖDERKÖPING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46308</v>
      </c>
      <c r="F202" t="inlineStr">
        <is>
          <t>ÖSTERGÖTLANDS LÄN</t>
        </is>
      </c>
      <c r="G202" t="inlineStr">
        <is>
          <t>SÖDERKÖPING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45756</v>
      </c>
      <c r="E203" s="1" t="n">
        <v>46308</v>
      </c>
      <c r="F203" t="inlineStr">
        <is>
          <t>ÖSTERGÖTLANDS LÄN</t>
        </is>
      </c>
      <c r="G203" t="inlineStr">
        <is>
          <t>SÖDERKÖPING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46308</v>
      </c>
      <c r="F204" t="inlineStr">
        <is>
          <t>ÖSTERGÖTLANDS LÄN</t>
        </is>
      </c>
      <c r="G204" t="inlineStr">
        <is>
          <t>SÖDERKÖPING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42202-2026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46305</v>
      </c>
      <c r="E205" s="1" t="n">
        <v>46308</v>
      </c>
      <c r="F205" t="inlineStr">
        <is>
          <t>ÖSTERGÖTLANDS LÄN</t>
        </is>
      </c>
      <c r="G205" t="inlineStr">
        <is>
          <t>SÖDERKÖPING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45782</v>
      </c>
      <c r="E206" s="1" t="n">
        <v>46308</v>
      </c>
      <c r="F206" t="inlineStr">
        <is>
          <t>ÖSTERGÖTLANDS LÄN</t>
        </is>
      </c>
      <c r="G206" t="inlineStr">
        <is>
          <t>SÖDERKÖPING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46308</v>
      </c>
      <c r="F207" t="inlineStr">
        <is>
          <t>ÖSTERGÖTLANDS LÄN</t>
        </is>
      </c>
      <c r="G207" t="inlineStr">
        <is>
          <t>SÖDERKÖPING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46308</v>
      </c>
      <c r="F208" t="inlineStr">
        <is>
          <t>ÖSTERGÖTLANDS LÄN</t>
        </is>
      </c>
      <c r="G208" t="inlineStr">
        <is>
          <t>SÖDERKÖPING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44979</v>
      </c>
      <c r="E209" s="1" t="n">
        <v>46308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Allmännings- och besparingsskogar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46308</v>
      </c>
      <c r="F210" t="inlineStr">
        <is>
          <t>ÖSTERGÖTLANDS LÄN</t>
        </is>
      </c>
      <c r="G210" t="inlineStr">
        <is>
          <t>SÖDERKÖPING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26058-2022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44734</v>
      </c>
      <c r="E211" s="1" t="n">
        <v>46308</v>
      </c>
      <c r="F211" t="inlineStr">
        <is>
          <t>ÖSTERGÖTLANDS LÄN</t>
        </is>
      </c>
      <c r="G211" t="inlineStr">
        <is>
          <t>SÖDERKÖPING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46308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Holmen skog AB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46308</v>
      </c>
      <c r="F213" t="inlineStr">
        <is>
          <t>ÖSTERGÖTLANDS LÄN</t>
        </is>
      </c>
      <c r="G213" t="inlineStr">
        <is>
          <t>SÖDERKÖPING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45119</v>
      </c>
      <c r="E214" s="1" t="n">
        <v>46308</v>
      </c>
      <c r="F214" t="inlineStr">
        <is>
          <t>ÖSTERGÖTLANDS LÄN</t>
        </is>
      </c>
      <c r="G214" t="inlineStr">
        <is>
          <t>SÖDERKÖPING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46308</v>
      </c>
      <c r="F215" t="inlineStr">
        <is>
          <t>ÖSTERGÖTLANDS LÄN</t>
        </is>
      </c>
      <c r="G215" t="inlineStr">
        <is>
          <t>SÖDERKÖPING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46781-2025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46308</v>
      </c>
      <c r="F216" t="inlineStr">
        <is>
          <t>ÖSTERGÖTLANDS LÄN</t>
        </is>
      </c>
      <c r="G216" t="inlineStr">
        <is>
          <t>SÖDERKÖPING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46308</v>
      </c>
      <c r="F217" t="inlineStr">
        <is>
          <t>ÖSTERGÖTLANDS LÄN</t>
        </is>
      </c>
      <c r="G217" t="inlineStr">
        <is>
          <t>SÖDERKÖPING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45734</v>
      </c>
      <c r="E218" s="1" t="n">
        <v>46308</v>
      </c>
      <c r="F218" t="inlineStr">
        <is>
          <t>ÖSTERGÖTLANDS LÄN</t>
        </is>
      </c>
      <c r="G218" t="inlineStr">
        <is>
          <t>SÖDERKÖPING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44588</v>
      </c>
      <c r="E219" s="1" t="n">
        <v>46308</v>
      </c>
      <c r="F219" t="inlineStr">
        <is>
          <t>ÖSTERGÖTLANDS LÄN</t>
        </is>
      </c>
      <c r="G219" t="inlineStr">
        <is>
          <t>SÖDERKÖPING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46139</v>
      </c>
      <c r="E220" s="1" t="n">
        <v>46308</v>
      </c>
      <c r="F220" t="inlineStr">
        <is>
          <t>ÖSTERGÖTLANDS LÄN</t>
        </is>
      </c>
      <c r="G220" t="inlineStr">
        <is>
          <t>SÖDERKÖPING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45190</v>
      </c>
      <c r="E221" s="1" t="n">
        <v>46308</v>
      </c>
      <c r="F221" t="inlineStr">
        <is>
          <t>ÖSTERGÖTLANDS LÄN</t>
        </is>
      </c>
      <c r="G221" t="inlineStr">
        <is>
          <t>SÖDERKÖPING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46308</v>
      </c>
      <c r="F222" t="inlineStr">
        <is>
          <t>ÖSTERGÖTLANDS LÄN</t>
        </is>
      </c>
      <c r="G222" t="inlineStr">
        <is>
          <t>SÖDERKÖPING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45044-2023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46308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44813</v>
      </c>
      <c r="E224" s="1" t="n">
        <v>46308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Holmen skog AB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46308</v>
      </c>
      <c r="F225" t="inlineStr">
        <is>
          <t>ÖSTERGÖTLANDS LÄN</t>
        </is>
      </c>
      <c r="G225" t="inlineStr">
        <is>
          <t>SÖDERKÖPING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20688-2026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46308</v>
      </c>
      <c r="F226" t="inlineStr">
        <is>
          <t>ÖSTERGÖTLANDS LÄN</t>
        </is>
      </c>
      <c r="G226" t="inlineStr">
        <is>
          <t>SÖDERKÖPING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45483-2023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45194</v>
      </c>
      <c r="E227" s="1" t="n">
        <v>46308</v>
      </c>
      <c r="F227" t="inlineStr">
        <is>
          <t>ÖSTERGÖTLANDS LÄN</t>
        </is>
      </c>
      <c r="G227" t="inlineStr">
        <is>
          <t>SÖDERKÖPING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45849</v>
      </c>
      <c r="E228" s="1" t="n">
        <v>46308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20703-2026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46308</v>
      </c>
      <c r="F229" t="inlineStr">
        <is>
          <t>ÖSTERGÖTLANDS LÄN</t>
        </is>
      </c>
      <c r="G229" t="inlineStr">
        <is>
          <t>SÖDERKÖPING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46308</v>
      </c>
      <c r="F230" t="inlineStr">
        <is>
          <t>ÖSTERGÖTLANDS LÄN</t>
        </is>
      </c>
      <c r="G230" t="inlineStr">
        <is>
          <t>SÖDERKÖPING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41363-2023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45174</v>
      </c>
      <c r="E231" s="1" t="n">
        <v>46308</v>
      </c>
      <c r="F231" t="inlineStr">
        <is>
          <t>ÖSTERGÖTLANDS LÄN</t>
        </is>
      </c>
      <c r="G231" t="inlineStr">
        <is>
          <t>SÖDERKÖPING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46308</v>
      </c>
      <c r="F232" t="inlineStr">
        <is>
          <t>ÖSTERGÖTLANDS LÄN</t>
        </is>
      </c>
      <c r="G232" t="inlineStr">
        <is>
          <t>SÖDERKÖPING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45279</v>
      </c>
      <c r="E233" s="1" t="n">
        <v>46308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45180</v>
      </c>
      <c r="E234" s="1" t="n">
        <v>46308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46150</v>
      </c>
      <c r="E235" s="1" t="n">
        <v>46308</v>
      </c>
      <c r="F235" t="inlineStr">
        <is>
          <t>ÖSTERGÖTLANDS LÄN</t>
        </is>
      </c>
      <c r="G235" t="inlineStr">
        <is>
          <t>SÖDERKÖPING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46150</v>
      </c>
      <c r="E236" s="1" t="n">
        <v>46308</v>
      </c>
      <c r="F236" t="inlineStr">
        <is>
          <t>ÖSTERGÖTLANDS LÄN</t>
        </is>
      </c>
      <c r="G236" t="inlineStr">
        <is>
          <t>SÖDERKÖPING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46308</v>
      </c>
      <c r="F237" t="inlineStr">
        <is>
          <t>ÖSTERGÖTLANDS LÄN</t>
        </is>
      </c>
      <c r="G237" t="inlineStr">
        <is>
          <t>SÖDERKÖPING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46308</v>
      </c>
      <c r="F238" t="inlineStr">
        <is>
          <t>ÖSTERGÖTLANDS LÄN</t>
        </is>
      </c>
      <c r="G238" t="inlineStr">
        <is>
          <t>SÖDERKÖPING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46163</v>
      </c>
      <c r="E239" s="1" t="n">
        <v>46308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Allmännings- och besparingsskogar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46308</v>
      </c>
      <c r="F240" t="inlineStr">
        <is>
          <t>ÖSTERGÖTLANDS LÄN</t>
        </is>
      </c>
      <c r="G240" t="inlineStr">
        <is>
          <t>SÖDERKÖPING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44965</v>
      </c>
      <c r="E241" s="1" t="n">
        <v>46308</v>
      </c>
      <c r="F241" t="inlineStr">
        <is>
          <t>ÖSTERGÖTLANDS LÄN</t>
        </is>
      </c>
      <c r="G241" t="inlineStr">
        <is>
          <t>SÖDERKÖPING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50241-2022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46308</v>
      </c>
      <c r="F242" t="inlineStr">
        <is>
          <t>ÖSTERGÖTLANDS LÄN</t>
        </is>
      </c>
      <c r="G242" t="inlineStr">
        <is>
          <t>SÖDERKÖPING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45093</v>
      </c>
      <c r="E243" s="1" t="n">
        <v>46308</v>
      </c>
      <c r="F243" t="inlineStr">
        <is>
          <t>ÖSTERGÖTLANDS LÄN</t>
        </is>
      </c>
      <c r="G243" t="inlineStr">
        <is>
          <t>SÖDERKÖPING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45106</v>
      </c>
      <c r="E244" s="1" t="n">
        <v>46308</v>
      </c>
      <c r="F244" t="inlineStr">
        <is>
          <t>ÖSTERGÖTLANDS LÄN</t>
        </is>
      </c>
      <c r="G244" t="inlineStr">
        <is>
          <t>SÖDERKÖPING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46308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Holmen skog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33736-2023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45119</v>
      </c>
      <c r="E246" s="1" t="n">
        <v>46308</v>
      </c>
      <c r="F246" t="inlineStr">
        <is>
          <t>ÖSTERGÖTLANDS LÄN</t>
        </is>
      </c>
      <c r="G246" t="inlineStr">
        <is>
          <t>SÖDERKÖPING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46308</v>
      </c>
      <c r="F247" t="inlineStr">
        <is>
          <t>ÖSTERGÖTLANDS LÄN</t>
        </is>
      </c>
      <c r="G247" t="inlineStr">
        <is>
          <t>SÖDERKÖPING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37684-2023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46308</v>
      </c>
      <c r="F248" t="inlineStr">
        <is>
          <t>ÖSTERGÖTLANDS LÄN</t>
        </is>
      </c>
      <c r="G248" t="inlineStr">
        <is>
          <t>SÖDERKÖPING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37687-2023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45159</v>
      </c>
      <c r="E249" s="1" t="n">
        <v>46308</v>
      </c>
      <c r="F249" t="inlineStr">
        <is>
          <t>ÖSTERGÖTLANDS LÄN</t>
        </is>
      </c>
      <c r="G249" t="inlineStr">
        <is>
          <t>SÖDERKÖPING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46308</v>
      </c>
      <c r="F250" t="inlineStr">
        <is>
          <t>ÖSTERGÖTLANDS LÄN</t>
        </is>
      </c>
      <c r="G250" t="inlineStr">
        <is>
          <t>SÖDERKÖPING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46308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35326-2022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44798</v>
      </c>
      <c r="E252" s="1" t="n">
        <v>46308</v>
      </c>
      <c r="F252" t="inlineStr">
        <is>
          <t>ÖSTERGÖTLANDS LÄN</t>
        </is>
      </c>
      <c r="G252" t="inlineStr">
        <is>
          <t>SÖDERKÖPING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14579-2025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46308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45376</v>
      </c>
      <c r="E254" s="1" t="n">
        <v>46308</v>
      </c>
      <c r="F254" t="inlineStr">
        <is>
          <t>ÖSTERGÖTLANDS LÄN</t>
        </is>
      </c>
      <c r="G254" t="inlineStr">
        <is>
          <t>SÖDERKÖPING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57888-2022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44900</v>
      </c>
      <c r="E255" s="1" t="n">
        <v>46308</v>
      </c>
      <c r="F255" t="inlineStr">
        <is>
          <t>ÖSTERGÖTLANDS LÄN</t>
        </is>
      </c>
      <c r="G255" t="inlineStr">
        <is>
          <t>SÖDERKÖPING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40351-2023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45169</v>
      </c>
      <c r="E256" s="1" t="n">
        <v>46308</v>
      </c>
      <c r="F256" t="inlineStr">
        <is>
          <t>ÖSTERGÖTLANDS LÄN</t>
        </is>
      </c>
      <c r="G256" t="inlineStr">
        <is>
          <t>SÖDERKÖPING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40356-2023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45169</v>
      </c>
      <c r="E257" s="1" t="n">
        <v>46308</v>
      </c>
      <c r="F257" t="inlineStr">
        <is>
          <t>ÖSTERGÖTLANDS LÄN</t>
        </is>
      </c>
      <c r="G257" t="inlineStr">
        <is>
          <t>SÖDERKÖPING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46308</v>
      </c>
      <c r="F258" t="inlineStr">
        <is>
          <t>ÖSTERGÖTLANDS LÄN</t>
        </is>
      </c>
      <c r="G258" t="inlineStr">
        <is>
          <t>SÖDERKÖPING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45504</v>
      </c>
      <c r="E259" s="1" t="n">
        <v>46308</v>
      </c>
      <c r="F259" t="inlineStr">
        <is>
          <t>ÖSTERGÖTLANDS LÄN</t>
        </is>
      </c>
      <c r="G259" t="inlineStr">
        <is>
          <t>SÖDERKÖPING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50051-2023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45215</v>
      </c>
      <c r="E260" s="1" t="n">
        <v>46308</v>
      </c>
      <c r="F260" t="inlineStr">
        <is>
          <t>ÖSTERGÖTLANDS LÄN</t>
        </is>
      </c>
      <c r="G260" t="inlineStr">
        <is>
          <t>SÖDERKÖPING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49367-2023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46308</v>
      </c>
      <c r="F261" t="inlineStr">
        <is>
          <t>ÖSTERGÖTLANDS LÄN</t>
        </is>
      </c>
      <c r="G261" t="inlineStr">
        <is>
          <t>SÖDERKÖPING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49227-2022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44861</v>
      </c>
      <c r="E262" s="1" t="n">
        <v>46308</v>
      </c>
      <c r="F262" t="inlineStr">
        <is>
          <t>ÖSTERGÖTLANDS LÄN</t>
        </is>
      </c>
      <c r="G262" t="inlineStr">
        <is>
          <t>SÖDERKÖPING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45315</v>
      </c>
      <c r="E263" s="1" t="n">
        <v>46308</v>
      </c>
      <c r="F263" t="inlineStr">
        <is>
          <t>ÖSTERGÖTLANDS LÄN</t>
        </is>
      </c>
      <c r="G263" t="inlineStr">
        <is>
          <t>SÖDERKÖPING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44796</v>
      </c>
      <c r="E264" s="1" t="n">
        <v>46308</v>
      </c>
      <c r="F264" t="inlineStr">
        <is>
          <t>ÖSTERGÖTLANDS LÄN</t>
        </is>
      </c>
      <c r="G264" t="inlineStr">
        <is>
          <t>SÖDERKÖPING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15034-2024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45399</v>
      </c>
      <c r="E265" s="1" t="n">
        <v>46308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45684</v>
      </c>
      <c r="E266" s="1" t="n">
        <v>46308</v>
      </c>
      <c r="F266" t="inlineStr">
        <is>
          <t>ÖSTERGÖTLANDS LÄN</t>
        </is>
      </c>
      <c r="G266" t="inlineStr">
        <is>
          <t>SÖDERKÖPING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69425-2021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44531</v>
      </c>
      <c r="E267" s="1" t="n">
        <v>46308</v>
      </c>
      <c r="F267" t="inlineStr">
        <is>
          <t>ÖSTERGÖTLANDS LÄN</t>
        </is>
      </c>
      <c r="G267" t="inlineStr">
        <is>
          <t>SÖDERKÖPING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46308</v>
      </c>
      <c r="F268" t="inlineStr">
        <is>
          <t>ÖSTERGÖTLANDS LÄN</t>
        </is>
      </c>
      <c r="G268" t="inlineStr">
        <is>
          <t>SÖDERKÖPING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44937</v>
      </c>
      <c r="E269" s="1" t="n">
        <v>46308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45180</v>
      </c>
      <c r="E270" s="1" t="n">
        <v>46308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Allmännings- och besparingsskogar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18794-2024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45426</v>
      </c>
      <c r="E271" s="1" t="n">
        <v>46308</v>
      </c>
      <c r="F271" t="inlineStr">
        <is>
          <t>ÖSTERGÖTLANDS LÄN</t>
        </is>
      </c>
      <c r="G271" t="inlineStr">
        <is>
          <t>SÖDERKÖPING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66362-2021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46308</v>
      </c>
      <c r="F272" t="inlineStr">
        <is>
          <t>ÖSTERGÖTLANDS LÄN</t>
        </is>
      </c>
      <c r="G272" t="inlineStr">
        <is>
          <t>SÖDERKÖPING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45546</v>
      </c>
      <c r="E273" s="1" t="n">
        <v>46308</v>
      </c>
      <c r="F273" t="inlineStr">
        <is>
          <t>ÖSTERGÖTLANDS LÄN</t>
        </is>
      </c>
      <c r="G273" t="inlineStr">
        <is>
          <t>SÖDERKÖPING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46308</v>
      </c>
      <c r="F274" t="inlineStr">
        <is>
          <t>ÖSTERGÖTLANDS LÄN</t>
        </is>
      </c>
      <c r="G274" t="inlineStr">
        <is>
          <t>SÖDERKÖPING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45457-2023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46308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49569-2022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44862</v>
      </c>
      <c r="E276" s="1" t="n">
        <v>46308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46308</v>
      </c>
      <c r="F277" t="inlineStr">
        <is>
          <t>ÖSTERGÖTLANDS LÄN</t>
        </is>
      </c>
      <c r="G277" t="inlineStr">
        <is>
          <t>SÖDERKÖPING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44174-2023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45188</v>
      </c>
      <c r="E278" s="1" t="n">
        <v>46308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46308</v>
      </c>
      <c r="F279" t="inlineStr">
        <is>
          <t>ÖSTERGÖTLANDS LÄN</t>
        </is>
      </c>
      <c r="G279" t="inlineStr">
        <is>
          <t>SÖDERKÖPING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46308</v>
      </c>
      <c r="F280" t="inlineStr">
        <is>
          <t>ÖSTERGÖTLANDS LÄN</t>
        </is>
      </c>
      <c r="G280" t="inlineStr">
        <is>
          <t>SÖDERKÖPING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58223-2022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46308</v>
      </c>
      <c r="F281" t="inlineStr">
        <is>
          <t>ÖSTERGÖTLANDS LÄN</t>
        </is>
      </c>
      <c r="G281" t="inlineStr">
        <is>
          <t>SÖDERKÖPING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45667</v>
      </c>
      <c r="E282" s="1" t="n">
        <v>46308</v>
      </c>
      <c r="F282" t="inlineStr">
        <is>
          <t>ÖSTERGÖTLANDS LÄN</t>
        </is>
      </c>
      <c r="G282" t="inlineStr">
        <is>
          <t>SÖDERKÖPING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9799-2023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44984</v>
      </c>
      <c r="E283" s="1" t="n">
        <v>46308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45159</v>
      </c>
      <c r="E284" s="1" t="n">
        <v>46308</v>
      </c>
      <c r="F284" t="inlineStr">
        <is>
          <t>ÖSTERGÖTLANDS LÄN</t>
        </is>
      </c>
      <c r="G284" t="inlineStr">
        <is>
          <t>SÖDERKÖPING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46308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36734-2022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44805</v>
      </c>
      <c r="E286" s="1" t="n">
        <v>46308</v>
      </c>
      <c r="F286" t="inlineStr">
        <is>
          <t>ÖSTERGÖTLANDS LÄN</t>
        </is>
      </c>
      <c r="G286" t="inlineStr">
        <is>
          <t>SÖDERKÖPING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45257</v>
      </c>
      <c r="E287" s="1" t="n">
        <v>46308</v>
      </c>
      <c r="F287" t="inlineStr">
        <is>
          <t>ÖSTERGÖTLANDS LÄN</t>
        </is>
      </c>
      <c r="G287" t="inlineStr">
        <is>
          <t>SÖDERKÖPING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46308</v>
      </c>
      <c r="F288" t="inlineStr">
        <is>
          <t>ÖSTERGÖTLANDS LÄN</t>
        </is>
      </c>
      <c r="G288" t="inlineStr">
        <is>
          <t>SÖDERKÖPING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54787-2022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44883</v>
      </c>
      <c r="E289" s="1" t="n">
        <v>46308</v>
      </c>
      <c r="F289" t="inlineStr">
        <is>
          <t>ÖSTERGÖTLANDS LÄN</t>
        </is>
      </c>
      <c r="G289" t="inlineStr">
        <is>
          <t>SÖDERKÖPING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45549-2023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46308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46308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44956</v>
      </c>
      <c r="E292" s="1" t="n">
        <v>46308</v>
      </c>
      <c r="F292" t="inlineStr">
        <is>
          <t>ÖSTERGÖTLANDS LÄN</t>
        </is>
      </c>
      <c r="G292" t="inlineStr">
        <is>
          <t>SÖDERKÖPING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60640-2022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44911</v>
      </c>
      <c r="E293" s="1" t="n">
        <v>46308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Allmännings- och besparingsskogar</t>
        </is>
      </c>
      <c r="I293" t="n">
        <v>10.8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64825-2023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45282</v>
      </c>
      <c r="E294" s="1" t="n">
        <v>46308</v>
      </c>
      <c r="F294" t="inlineStr">
        <is>
          <t>ÖSTERGÖTLANDS LÄN</t>
        </is>
      </c>
      <c r="G294" t="inlineStr">
        <is>
          <t>SÖDERKÖPING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66075-2021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44517</v>
      </c>
      <c r="E295" s="1" t="n">
        <v>46308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Kyrkan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44966</v>
      </c>
      <c r="E296" s="1" t="n">
        <v>46308</v>
      </c>
      <c r="F296" t="inlineStr">
        <is>
          <t>ÖSTERGÖTLANDS LÄN</t>
        </is>
      </c>
      <c r="G296" t="inlineStr">
        <is>
          <t>SÖDERKÖPING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44978</v>
      </c>
      <c r="E297" s="1" t="n">
        <v>46308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46308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Allmännings- och besparingsskogar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50050-2023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45215</v>
      </c>
      <c r="E299" s="1" t="n">
        <v>46308</v>
      </c>
      <c r="F299" t="inlineStr">
        <is>
          <t>ÖSTERGÖTLANDS LÄN</t>
        </is>
      </c>
      <c r="G299" t="inlineStr">
        <is>
          <t>SÖDERKÖPING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45058</v>
      </c>
      <c r="E300" s="1" t="n">
        <v>46308</v>
      </c>
      <c r="F300" t="inlineStr">
        <is>
          <t>ÖSTERGÖTLANDS LÄN</t>
        </is>
      </c>
      <c r="G300" t="inlineStr">
        <is>
          <t>SÖDERKÖPING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45684</v>
      </c>
      <c r="E301" s="1" t="n">
        <v>46308</v>
      </c>
      <c r="F301" t="inlineStr">
        <is>
          <t>ÖSTERGÖTLANDS LÄN</t>
        </is>
      </c>
      <c r="G301" t="inlineStr">
        <is>
          <t>SÖDERKÖPING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45344</v>
      </c>
      <c r="E302" s="1" t="n">
        <v>46308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20783-2023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45058</v>
      </c>
      <c r="E303" s="1" t="n">
        <v>46308</v>
      </c>
      <c r="F303" t="inlineStr">
        <is>
          <t>ÖSTERGÖTLANDS LÄN</t>
        </is>
      </c>
      <c r="G303" t="inlineStr">
        <is>
          <t>SÖDERKÖPING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44956</v>
      </c>
      <c r="E304" s="1" t="n">
        <v>46308</v>
      </c>
      <c r="F304" t="inlineStr">
        <is>
          <t>ÖSTERGÖTLANDS LÄN</t>
        </is>
      </c>
      <c r="G304" t="inlineStr">
        <is>
          <t>SÖDERKÖPING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44711</v>
      </c>
      <c r="E305" s="1" t="n">
        <v>46308</v>
      </c>
      <c r="F305" t="inlineStr">
        <is>
          <t>ÖSTERGÖTLANDS LÄN</t>
        </is>
      </c>
      <c r="G305" t="inlineStr">
        <is>
          <t>SÖDERKÖPING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45218</v>
      </c>
      <c r="E306" s="1" t="n">
        <v>46308</v>
      </c>
      <c r="F306" t="inlineStr">
        <is>
          <t>ÖSTERGÖTLANDS LÄN</t>
        </is>
      </c>
      <c r="G306" t="inlineStr">
        <is>
          <t>SÖDERKÖPING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9746-2022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44618</v>
      </c>
      <c r="E307" s="1" t="n">
        <v>46308</v>
      </c>
      <c r="F307" t="inlineStr">
        <is>
          <t>ÖSTERGÖTLANDS LÄN</t>
        </is>
      </c>
      <c r="G307" t="inlineStr">
        <is>
          <t>SÖDERKÖPING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45293</v>
      </c>
      <c r="E308" s="1" t="n">
        <v>46308</v>
      </c>
      <c r="F308" t="inlineStr">
        <is>
          <t>ÖSTERGÖTLANDS LÄN</t>
        </is>
      </c>
      <c r="G308" t="inlineStr">
        <is>
          <t>SÖDERKÖPING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42753-2023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46308</v>
      </c>
      <c r="F309" t="inlineStr">
        <is>
          <t>ÖSTERGÖTLANDS LÄN</t>
        </is>
      </c>
      <c r="G309" t="inlineStr">
        <is>
          <t>SÖDERKÖPING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46308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45614</v>
      </c>
      <c r="E311" s="1" t="n">
        <v>46308</v>
      </c>
      <c r="F311" t="inlineStr">
        <is>
          <t>ÖSTERGÖTLANDS LÄN</t>
        </is>
      </c>
      <c r="G311" t="inlineStr">
        <is>
          <t>SÖDERKÖPING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44951</v>
      </c>
      <c r="E312" s="1" t="n">
        <v>46308</v>
      </c>
      <c r="F312" t="inlineStr">
        <is>
          <t>ÖSTERGÖTLANDS LÄN</t>
        </is>
      </c>
      <c r="G312" t="inlineStr">
        <is>
          <t>SÖDERKÖPING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45187</v>
      </c>
      <c r="E313" s="1" t="n">
        <v>46308</v>
      </c>
      <c r="F313" t="inlineStr">
        <is>
          <t>ÖSTERGÖTLANDS LÄN</t>
        </is>
      </c>
      <c r="G313" t="inlineStr">
        <is>
          <t>SÖDERKÖPING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43891-2023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45187</v>
      </c>
      <c r="E314" s="1" t="n">
        <v>46308</v>
      </c>
      <c r="F314" t="inlineStr">
        <is>
          <t>ÖSTERGÖTLANDS LÄN</t>
        </is>
      </c>
      <c r="G314" t="inlineStr">
        <is>
          <t>SÖDERKÖPING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45295</v>
      </c>
      <c r="E315" s="1" t="n">
        <v>46308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46308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20967-2023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45061</v>
      </c>
      <c r="E317" s="1" t="n">
        <v>46308</v>
      </c>
      <c r="F317" t="inlineStr">
        <is>
          <t>ÖSTERGÖTLANDS LÄN</t>
        </is>
      </c>
      <c r="G317" t="inlineStr">
        <is>
          <t>SÖDERKÖPING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45684</v>
      </c>
      <c r="E318" s="1" t="n">
        <v>46308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46308</v>
      </c>
      <c r="F319" t="inlineStr">
        <is>
          <t>ÖSTERGÖTLANDS LÄN</t>
        </is>
      </c>
      <c r="G319" t="inlineStr">
        <is>
          <t>SÖDERKÖPING</t>
        </is>
      </c>
      <c r="H319" t="inlineStr">
        <is>
          <t>Kyrkan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45295</v>
      </c>
      <c r="E320" s="1" t="n">
        <v>46308</v>
      </c>
      <c r="F320" t="inlineStr">
        <is>
          <t>ÖSTERGÖTLANDS LÄN</t>
        </is>
      </c>
      <c r="G320" t="inlineStr">
        <is>
          <t>SÖDERKÖPING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45489</v>
      </c>
      <c r="E321" s="1" t="n">
        <v>46308</v>
      </c>
      <c r="F321" t="inlineStr">
        <is>
          <t>ÖSTERGÖTLANDS LÄN</t>
        </is>
      </c>
      <c r="G321" t="inlineStr">
        <is>
          <t>SÖDERKÖPING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56213-2022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44890</v>
      </c>
      <c r="E322" s="1" t="n">
        <v>46308</v>
      </c>
      <c r="F322" t="inlineStr">
        <is>
          <t>ÖSTERGÖTLANDS LÄN</t>
        </is>
      </c>
      <c r="G322" t="inlineStr">
        <is>
          <t>SÖDERKÖPING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45239</v>
      </c>
      <c r="E323" s="1" t="n">
        <v>46308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20251-2023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46308</v>
      </c>
      <c r="F324" t="inlineStr">
        <is>
          <t>ÖSTERGÖTLANDS LÄN</t>
        </is>
      </c>
      <c r="G324" t="inlineStr">
        <is>
          <t>SÖDERKÖPING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45055</v>
      </c>
      <c r="E325" s="1" t="n">
        <v>46308</v>
      </c>
      <c r="F325" t="inlineStr">
        <is>
          <t>ÖSTERGÖTLANDS LÄN</t>
        </is>
      </c>
      <c r="G325" t="inlineStr">
        <is>
          <t>SÖDERKÖPING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45169</v>
      </c>
      <c r="E326" s="1" t="n">
        <v>46308</v>
      </c>
      <c r="F326" t="inlineStr">
        <is>
          <t>ÖSTERGÖTLANDS LÄN</t>
        </is>
      </c>
      <c r="G326" t="inlineStr">
        <is>
          <t>SÖDERKÖPING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46308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46308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46308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46308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46308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46308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2026-10-13T02:00:38Z</dcterms:created>
  <dcterms:modified xmlns:dcterms="http://purl.org/dc/terms/" xmlns:xsi="http://www.w3.org/2001/XMLSchema-instance" xsi:type="dcterms:W3CDTF">2026-10-13T02:00:38Z</dcterms:modified>
</cp:coreProperties>
</file>