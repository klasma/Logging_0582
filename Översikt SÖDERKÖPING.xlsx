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46253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46253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46253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46253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46253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46253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46253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46253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46253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46253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46253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46253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46253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46253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46253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46253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46253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46253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10992-2026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46079</v>
      </c>
      <c r="E25" s="1" t="n">
        <v>46253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Kyrkan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0</v>
      </c>
      <c r="V25" s="2" t="inlineStr">
        <is>
          <t>Ask</t>
        </is>
      </c>
      <c r="W25">
        <f>HYPERLINK("https://klasma.github.io/Logging_0582/artfynd/A 10992-2026 artfynd.xlsx", "A 10992-2026")</f>
        <v/>
      </c>
      <c r="X25">
        <f>HYPERLINK("https://klasma.github.io/Logging_0582/kartor/A 10992-2026 karta.png", "A 10992-2026")</f>
        <v/>
      </c>
      <c r="Y25">
        <f>HYPERLINK("https://klasma.github.io/Logging_0582/kartor_geotiff/A 10992-2026 georefererad karta.tif", "A 10992-2026")</f>
        <v/>
      </c>
      <c r="AA25">
        <f>HYPERLINK("https://klasma.github.io/Logging_0582/klagomål/A 10992-2026 FSC-klagomål.docx", "A 10992-2026")</f>
        <v/>
      </c>
      <c r="AB25">
        <f>HYPERLINK("https://klasma.github.io/Logging_0582/klagomålsmail/A 10992-2026 FSC-klagomål mail.docx", "A 10992-2026")</f>
        <v/>
      </c>
      <c r="AC25">
        <f>HYPERLINK("https://klasma.github.io/Logging_0582/tillsyn/A 10992-2026 tillsynsbegäran.docx", "A 10992-2026")</f>
        <v/>
      </c>
      <c r="AD25">
        <f>HYPERLINK("https://klasma.github.io/Logging_0582/tillsynsmail/A 10992-2026 tillsynsbegäran mail.docx", "A 10992-2026")</f>
        <v/>
      </c>
    </row>
    <row r="26" ht="15" customHeight="1">
      <c r="A26" t="inlineStr">
        <is>
          <t>A 17632-2026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46253</v>
      </c>
      <c r="F26" t="inlineStr">
        <is>
          <t>ÖSTERGÖTLANDS LÄN</t>
        </is>
      </c>
      <c r="G26" t="inlineStr">
        <is>
          <t>SÖDERKÖPING</t>
        </is>
      </c>
      <c r="I26" t="n">
        <v>3.3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Ekoxe</t>
        </is>
      </c>
      <c r="W26">
        <f>HYPERLINK("https://klasma.github.io/Logging_0582/artfynd/A 17632-2026 artfynd.xlsx", "A 17632-2026")</f>
        <v/>
      </c>
      <c r="X26">
        <f>HYPERLINK("https://klasma.github.io/Logging_0582/kartor/A 17632-2026 karta.png", "A 17632-2026")</f>
        <v/>
      </c>
      <c r="Y26">
        <f>HYPERLINK("https://klasma.github.io/Logging_0582/kartor_geotiff/A 17632-2026 georefererad karta.tif", "A 17632-2026")</f>
        <v/>
      </c>
      <c r="AA26">
        <f>HYPERLINK("https://klasma.github.io/Logging_0582/klagomål/A 17632-2026 FSC-klagomål.docx", "A 17632-2026")</f>
        <v/>
      </c>
      <c r="AB26">
        <f>HYPERLINK("https://klasma.github.io/Logging_0582/klagomålsmail/A 17632-2026 FSC-klagomål mail.docx", "A 17632-2026")</f>
        <v/>
      </c>
      <c r="AC26">
        <f>HYPERLINK("https://klasma.github.io/Logging_0582/tillsyn/A 17632-2026 tillsynsbegäran.docx", "A 17632-2026")</f>
        <v/>
      </c>
      <c r="AD26">
        <f>HYPERLINK("https://klasma.github.io/Logging_0582/tillsynsmail/A 17632-2026 tillsynsbegäran mail.docx", "A 17632-2026")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46253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22512-2024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46253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Kommuner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Skogsstjärna</t>
        </is>
      </c>
      <c r="W28">
        <f>HYPERLINK("https://klasma.github.io/Logging_0582/artfynd/A 22512-2024 artfynd.xlsx", "A 22512-2024")</f>
        <v/>
      </c>
      <c r="X28">
        <f>HYPERLINK("https://klasma.github.io/Logging_0582/kartor/A 22512-2024 karta.png", "A 22512-2024")</f>
        <v/>
      </c>
      <c r="Y28">
        <f>HYPERLINK("https://klasma.github.io/Logging_0582/kartor_geotiff/A 22512-2024 georefererad karta.tif", "A 22512-2024")</f>
        <v/>
      </c>
      <c r="AA28">
        <f>HYPERLINK("https://klasma.github.io/Logging_0582/klagomål/A 22512-2024 FSC-klagomål.docx", "A 22512-2024")</f>
        <v/>
      </c>
      <c r="AB28">
        <f>HYPERLINK("https://klasma.github.io/Logging_0582/klagomålsmail/A 22512-2024 FSC-klagomål mail.docx", "A 22512-2024")</f>
        <v/>
      </c>
      <c r="AC28">
        <f>HYPERLINK("https://klasma.github.io/Logging_0582/tillsyn/A 22512-2024 tillsynsbegäran.docx", "A 22512-2024")</f>
        <v/>
      </c>
      <c r="AD28">
        <f>HYPERLINK("https://klasma.github.io/Logging_0582/tillsynsmail/A 22512-2024 tillsynsbegäran mail.docx", "A 22512-2024")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46253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HYPERLINK("https://klasma.github.io/Logging_0582/artfynd/A 4709-2025 artfynd.xlsx", "A 4709-2025")</f>
        <v/>
      </c>
      <c r="X29">
        <f>HYPERLINK("https://klasma.github.io/Logging_0582/kartor/A 4709-2025 karta.png", "A 4709-2025")</f>
        <v/>
      </c>
      <c r="Y29">
        <f>HYPERLINK("https://klasma.github.io/Logging_0582/kartor_geotiff/A 4709-2025 georefererad karta.tif", "A 4709-2025")</f>
        <v/>
      </c>
      <c r="AA29">
        <f>HYPERLINK("https://klasma.github.io/Logging_0582/klagomål/A 4709-2025 FSC-klagomål.docx", "A 4709-2025")</f>
        <v/>
      </c>
      <c r="AB29">
        <f>HYPERLINK("https://klasma.github.io/Logging_0582/klagomålsmail/A 4709-2025 FSC-klagomål mail.docx", "A 4709-2025")</f>
        <v/>
      </c>
      <c r="AC29">
        <f>HYPERLINK("https://klasma.github.io/Logging_0582/tillsyn/A 4709-2025 tillsynsbegäran.docx", "A 4709-2025")</f>
        <v/>
      </c>
      <c r="AD29">
        <f>HYPERLINK("https://klasma.github.io/Logging_0582/tillsynsmail/A 4709-2025 tillsynsbegäran mail.docx", "A 4709-2025")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46253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46253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28549-2024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46253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Vippärt</t>
        </is>
      </c>
      <c r="W32">
        <f>HYPERLINK("https://klasma.github.io/Logging_0582/artfynd/A 28549-2024 artfynd.xlsx", "A 28549-2024")</f>
        <v/>
      </c>
      <c r="X32">
        <f>HYPERLINK("https://klasma.github.io/Logging_0582/kartor/A 28549-2024 karta.png", "A 28549-2024")</f>
        <v/>
      </c>
      <c r="Y32">
        <f>HYPERLINK("https://klasma.github.io/Logging_0582/kartor_geotiff/A 28549-2024 georefererad karta.tif", "A 28549-2024")</f>
        <v/>
      </c>
      <c r="AA32">
        <f>HYPERLINK("https://klasma.github.io/Logging_0582/klagomål/A 28549-2024 FSC-klagomål.docx", "A 28549-2024")</f>
        <v/>
      </c>
      <c r="AB32">
        <f>HYPERLINK("https://klasma.github.io/Logging_0582/klagomålsmail/A 28549-2024 FSC-klagomål mail.docx", "A 28549-2024")</f>
        <v/>
      </c>
      <c r="AC32">
        <f>HYPERLINK("https://klasma.github.io/Logging_0582/tillsyn/A 28549-2024 tillsynsbegäran.docx", "A 28549-2024")</f>
        <v/>
      </c>
      <c r="AD32">
        <f>HYPERLINK("https://klasma.github.io/Logging_0582/tillsynsmail/A 28549-2024 tillsynsbegäran mail.docx", "A 28549-2024")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46253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46253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46253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46253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46253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46253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46253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46253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46253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46253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46253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46253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46253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46253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46253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46253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46253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46253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46253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46253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46253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46253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46253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46253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46253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46253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46253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46253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46253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46253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46253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45215</v>
      </c>
      <c r="E64" s="1" t="n">
        <v>46253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53777-2023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46253</v>
      </c>
      <c r="F65" t="inlineStr">
        <is>
          <t>ÖSTERGÖTLANDS LÄN</t>
        </is>
      </c>
      <c r="G65" t="inlineStr">
        <is>
          <t>SÖDERKÖPING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46253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46253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46253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46253</v>
      </c>
      <c r="F69" t="inlineStr">
        <is>
          <t>ÖSTERGÖTLANDS LÄN</t>
        </is>
      </c>
      <c r="G69" t="inlineStr">
        <is>
          <t>SÖDERKÖPING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46253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46253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46253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46253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46253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46253</v>
      </c>
      <c r="F75" t="inlineStr">
        <is>
          <t>ÖSTERGÖTLANDS LÄN</t>
        </is>
      </c>
      <c r="G75" t="inlineStr">
        <is>
          <t>SÖDERKÖPING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45365</v>
      </c>
      <c r="E76" s="1" t="n">
        <v>46253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46253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46253</v>
      </c>
      <c r="F78" t="inlineStr">
        <is>
          <t>ÖSTERGÖTLANDS LÄN</t>
        </is>
      </c>
      <c r="G78" t="inlineStr">
        <is>
          <t>SÖDERKÖPING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46253</v>
      </c>
      <c r="F79" t="inlineStr">
        <is>
          <t>ÖSTERGÖTLANDS LÄN</t>
        </is>
      </c>
      <c r="G79" t="inlineStr">
        <is>
          <t>SÖDERKÖPING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46253</v>
      </c>
      <c r="F80" t="inlineStr">
        <is>
          <t>ÖSTERGÖTLANDS LÄN</t>
        </is>
      </c>
      <c r="G80" t="inlineStr">
        <is>
          <t>SÖDERKÖPING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45742</v>
      </c>
      <c r="E81" s="1" t="n">
        <v>46253</v>
      </c>
      <c r="F81" t="inlineStr">
        <is>
          <t>ÖSTERGÖTLANDS LÄN</t>
        </is>
      </c>
      <c r="G81" t="inlineStr">
        <is>
          <t>SÖDERKÖPING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45546</v>
      </c>
      <c r="E82" s="1" t="n">
        <v>46253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46253</v>
      </c>
      <c r="F83" t="inlineStr">
        <is>
          <t>ÖSTERGÖTLANDS LÄN</t>
        </is>
      </c>
      <c r="G83" t="inlineStr">
        <is>
          <t>SÖDERKÖPING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46253</v>
      </c>
      <c r="F84" t="inlineStr">
        <is>
          <t>ÖSTERGÖTLANDS LÄN</t>
        </is>
      </c>
      <c r="G84" t="inlineStr">
        <is>
          <t>SÖDERKÖPING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45818</v>
      </c>
      <c r="E85" s="1" t="n">
        <v>46253</v>
      </c>
      <c r="F85" t="inlineStr">
        <is>
          <t>ÖSTERGÖTLANDS LÄN</t>
        </is>
      </c>
      <c r="G85" t="inlineStr">
        <is>
          <t>SÖDERKÖPING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46253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46253</v>
      </c>
      <c r="F87" t="inlineStr">
        <is>
          <t>ÖSTERGÖTLANDS LÄN</t>
        </is>
      </c>
      <c r="G87" t="inlineStr">
        <is>
          <t>SÖDERKÖPING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46253</v>
      </c>
      <c r="F88" t="inlineStr">
        <is>
          <t>ÖSTERGÖTLANDS LÄN</t>
        </is>
      </c>
      <c r="G88" t="inlineStr">
        <is>
          <t>SÖDERKÖPING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46253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60640-2022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44911</v>
      </c>
      <c r="E90" s="1" t="n">
        <v>46253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Allmännings- och besparingsskogar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46050</v>
      </c>
      <c r="E91" s="1" t="n">
        <v>46253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Kyrkan</t>
        </is>
      </c>
      <c r="I91" t="n">
        <v>11.7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46253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46253</v>
      </c>
      <c r="F93" t="inlineStr">
        <is>
          <t>ÖSTERGÖTLANDS LÄN</t>
        </is>
      </c>
      <c r="G93" t="inlineStr">
        <is>
          <t>SÖDERKÖPING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46253</v>
      </c>
      <c r="F94" t="inlineStr">
        <is>
          <t>ÖSTERGÖTLANDS LÄN</t>
        </is>
      </c>
      <c r="G94" t="inlineStr">
        <is>
          <t>SÖDERKÖPING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46253</v>
      </c>
      <c r="F95" t="inlineStr">
        <is>
          <t>ÖSTERGÖTLANDS LÄN</t>
        </is>
      </c>
      <c r="G95" t="inlineStr">
        <is>
          <t>SÖDERKÖPING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46253</v>
      </c>
      <c r="F96" t="inlineStr">
        <is>
          <t>ÖSTERGÖTLANDS LÄN</t>
        </is>
      </c>
      <c r="G96" t="inlineStr">
        <is>
          <t>SÖDERKÖPING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46253</v>
      </c>
      <c r="F97" t="inlineStr">
        <is>
          <t>ÖSTERGÖTLANDS LÄN</t>
        </is>
      </c>
      <c r="G97" t="inlineStr">
        <is>
          <t>SÖDERKÖPING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46253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Kyrkan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45344</v>
      </c>
      <c r="E99" s="1" t="n">
        <v>46253</v>
      </c>
      <c r="F99" t="inlineStr">
        <is>
          <t>ÖSTERGÖTLANDS LÄN</t>
        </is>
      </c>
      <c r="G99" t="inlineStr">
        <is>
          <t>SÖDERKÖPING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7852-2026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46253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46253</v>
      </c>
      <c r="F101" t="inlineStr">
        <is>
          <t>ÖSTERGÖTLANDS LÄN</t>
        </is>
      </c>
      <c r="G101" t="inlineStr">
        <is>
          <t>SÖDERKÖPING</t>
        </is>
      </c>
      <c r="I101" t="n">
        <v>26.6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46253</v>
      </c>
      <c r="F102" t="inlineStr">
        <is>
          <t>ÖSTERGÖTLANDS LÄN</t>
        </is>
      </c>
      <c r="G102" t="inlineStr">
        <is>
          <t>SÖDERKÖPING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46253</v>
      </c>
      <c r="F103" t="inlineStr">
        <is>
          <t>ÖSTERGÖTLANDS LÄN</t>
        </is>
      </c>
      <c r="G103" t="inlineStr">
        <is>
          <t>SÖDERKÖPING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46061</v>
      </c>
      <c r="E104" s="1" t="n">
        <v>46253</v>
      </c>
      <c r="F104" t="inlineStr">
        <is>
          <t>ÖSTERGÖTLANDS LÄN</t>
        </is>
      </c>
      <c r="G104" t="inlineStr">
        <is>
          <t>SÖDERKÖPING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46253</v>
      </c>
      <c r="F105" t="inlineStr">
        <is>
          <t>ÖSTERGÖTLANDS LÄN</t>
        </is>
      </c>
      <c r="G105" t="inlineStr">
        <is>
          <t>SÖDERKÖPING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46253</v>
      </c>
      <c r="F106" t="inlineStr">
        <is>
          <t>ÖSTERGÖTLANDS LÄN</t>
        </is>
      </c>
      <c r="G106" t="inlineStr">
        <is>
          <t>SÖDERKÖPING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23121-2025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46253</v>
      </c>
      <c r="F107" t="inlineStr">
        <is>
          <t>ÖSTERGÖTLANDS LÄN</t>
        </is>
      </c>
      <c r="G107" t="inlineStr">
        <is>
          <t>SÖDERKÖPING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46253</v>
      </c>
      <c r="F108" t="inlineStr">
        <is>
          <t>ÖSTERGÖTLANDS LÄN</t>
        </is>
      </c>
      <c r="G108" t="inlineStr">
        <is>
          <t>SÖDERKÖPING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11673-2023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44994</v>
      </c>
      <c r="E109" s="1" t="n">
        <v>46253</v>
      </c>
      <c r="F109" t="inlineStr">
        <is>
          <t>ÖSTERGÖTLANDS LÄN</t>
        </is>
      </c>
      <c r="G109" t="inlineStr">
        <is>
          <t>SÖDERKÖPING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46253</v>
      </c>
      <c r="F110" t="inlineStr">
        <is>
          <t>ÖSTERGÖTLANDS LÄN</t>
        </is>
      </c>
      <c r="G110" t="inlineStr">
        <is>
          <t>SÖDERKÖPING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44736</v>
      </c>
      <c r="E111" s="1" t="n">
        <v>46253</v>
      </c>
      <c r="F111" t="inlineStr">
        <is>
          <t>ÖSTERGÖTLANDS LÄN</t>
        </is>
      </c>
      <c r="G111" t="inlineStr">
        <is>
          <t>SÖDERKÖPING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46253</v>
      </c>
      <c r="F112" t="inlineStr">
        <is>
          <t>ÖSTERGÖTLANDS LÄN</t>
        </is>
      </c>
      <c r="G112" t="inlineStr">
        <is>
          <t>SÖDERKÖPING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46253</v>
      </c>
      <c r="F113" t="inlineStr">
        <is>
          <t>ÖSTERGÖTLANDS LÄN</t>
        </is>
      </c>
      <c r="G113" t="inlineStr">
        <is>
          <t>SÖDERKÖPING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45293</v>
      </c>
      <c r="E114" s="1" t="n">
        <v>46253</v>
      </c>
      <c r="F114" t="inlineStr">
        <is>
          <t>ÖSTERGÖTLANDS LÄN</t>
        </is>
      </c>
      <c r="G114" t="inlineStr">
        <is>
          <t>SÖDERKÖPING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46253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11005-2026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46079</v>
      </c>
      <c r="E116" s="1" t="n">
        <v>46253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Kyrkan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44956</v>
      </c>
      <c r="E117" s="1" t="n">
        <v>46253</v>
      </c>
      <c r="F117" t="inlineStr">
        <is>
          <t>ÖSTERGÖTLANDS LÄN</t>
        </is>
      </c>
      <c r="G117" t="inlineStr">
        <is>
          <t>SÖDERKÖPING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46253</v>
      </c>
      <c r="F118" t="inlineStr">
        <is>
          <t>ÖSTERGÖTLANDS LÄN</t>
        </is>
      </c>
      <c r="G118" t="inlineStr">
        <is>
          <t>SÖDERKÖPING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46253</v>
      </c>
      <c r="F119" t="inlineStr">
        <is>
          <t>ÖSTERGÖTLANDS LÄN</t>
        </is>
      </c>
      <c r="G119" t="inlineStr">
        <is>
          <t>SÖDERKÖPING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46084</v>
      </c>
      <c r="E120" s="1" t="n">
        <v>46253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46084</v>
      </c>
      <c r="E121" s="1" t="n">
        <v>46253</v>
      </c>
      <c r="F121" t="inlineStr">
        <is>
          <t>ÖSTERGÖTLANDS LÄN</t>
        </is>
      </c>
      <c r="G121" t="inlineStr">
        <is>
          <t>SÖDERKÖPING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46253</v>
      </c>
      <c r="F122" t="inlineStr">
        <is>
          <t>ÖSTERGÖTLANDS LÄN</t>
        </is>
      </c>
      <c r="G122" t="inlineStr">
        <is>
          <t>SÖDERKÖPING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46253</v>
      </c>
      <c r="F123" t="inlineStr">
        <is>
          <t>ÖSTERGÖTLANDS LÄN</t>
        </is>
      </c>
      <c r="G123" t="inlineStr">
        <is>
          <t>SÖDERKÖPING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46253</v>
      </c>
      <c r="F124" t="inlineStr">
        <is>
          <t>ÖSTERGÖTLANDS LÄN</t>
        </is>
      </c>
      <c r="G124" t="inlineStr">
        <is>
          <t>SÖDERKÖPING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46253</v>
      </c>
      <c r="F125" t="inlineStr">
        <is>
          <t>ÖSTERGÖTLANDS LÄN</t>
        </is>
      </c>
      <c r="G125" t="inlineStr">
        <is>
          <t>SÖDERKÖPING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45663</v>
      </c>
      <c r="E126" s="1" t="n">
        <v>46253</v>
      </c>
      <c r="F126" t="inlineStr">
        <is>
          <t>ÖSTERGÖTLANDS LÄN</t>
        </is>
      </c>
      <c r="G126" t="inlineStr">
        <is>
          <t>SÖDERKÖPING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46253</v>
      </c>
      <c r="F127" t="inlineStr">
        <is>
          <t>ÖSTERGÖTLANDS LÄN</t>
        </is>
      </c>
      <c r="G127" t="inlineStr">
        <is>
          <t>SÖDERKÖPING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46253</v>
      </c>
      <c r="F128" t="inlineStr">
        <is>
          <t>ÖSTERGÖTLANDS LÄN</t>
        </is>
      </c>
      <c r="G128" t="inlineStr">
        <is>
          <t>SÖDERKÖPING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46253</v>
      </c>
      <c r="F129" t="inlineStr">
        <is>
          <t>ÖSTERGÖTLANDS LÄN</t>
        </is>
      </c>
      <c r="G129" t="inlineStr">
        <is>
          <t>SÖDERKÖPING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46253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46253</v>
      </c>
      <c r="F131" t="inlineStr">
        <is>
          <t>ÖSTERGÖTLANDS LÄN</t>
        </is>
      </c>
      <c r="G131" t="inlineStr">
        <is>
          <t>SÖDERKÖPING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46253</v>
      </c>
      <c r="F132" t="inlineStr">
        <is>
          <t>ÖSTERGÖTLANDS LÄN</t>
        </is>
      </c>
      <c r="G132" t="inlineStr">
        <is>
          <t>SÖDERKÖPING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46253</v>
      </c>
      <c r="F133" t="inlineStr">
        <is>
          <t>ÖSTERGÖTLANDS LÄN</t>
        </is>
      </c>
      <c r="G133" t="inlineStr">
        <is>
          <t>SÖDERKÖPING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46253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46253</v>
      </c>
      <c r="F135" t="inlineStr">
        <is>
          <t>ÖSTERGÖTLANDS LÄN</t>
        </is>
      </c>
      <c r="G135" t="inlineStr">
        <is>
          <t>SÖDERKÖPING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46253</v>
      </c>
      <c r="F136" t="inlineStr">
        <is>
          <t>ÖSTERGÖTLANDS LÄN</t>
        </is>
      </c>
      <c r="G136" t="inlineStr">
        <is>
          <t>SÖDERKÖPING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44798</v>
      </c>
      <c r="E137" s="1" t="n">
        <v>46253</v>
      </c>
      <c r="F137" t="inlineStr">
        <is>
          <t>ÖSTERGÖTLANDS LÄN</t>
        </is>
      </c>
      <c r="G137" t="inlineStr">
        <is>
          <t>SÖDERKÖPING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46253</v>
      </c>
      <c r="F138" t="inlineStr">
        <is>
          <t>ÖSTERGÖTLANDS LÄN</t>
        </is>
      </c>
      <c r="G138" t="inlineStr">
        <is>
          <t>SÖDERKÖPING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46253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46253</v>
      </c>
      <c r="F140" t="inlineStr">
        <is>
          <t>ÖSTERGÖTLANDS LÄN</t>
        </is>
      </c>
      <c r="G140" t="inlineStr">
        <is>
          <t>SÖDERKÖPING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60160-2021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44495</v>
      </c>
      <c r="E141" s="1" t="n">
        <v>46253</v>
      </c>
      <c r="F141" t="inlineStr">
        <is>
          <t>ÖSTERGÖTLANDS LÄN</t>
        </is>
      </c>
      <c r="G141" t="inlineStr">
        <is>
          <t>SÖDERKÖPING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46253</v>
      </c>
      <c r="F142" t="inlineStr">
        <is>
          <t>ÖSTERGÖTLANDS LÄN</t>
        </is>
      </c>
      <c r="G142" t="inlineStr">
        <is>
          <t>SÖDERKÖPING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46253</v>
      </c>
      <c r="F143" t="inlineStr">
        <is>
          <t>ÖSTERGÖTLANDS LÄN</t>
        </is>
      </c>
      <c r="G143" t="inlineStr">
        <is>
          <t>SÖDERKÖPING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45692</v>
      </c>
      <c r="E144" s="1" t="n">
        <v>46253</v>
      </c>
      <c r="F144" t="inlineStr">
        <is>
          <t>ÖSTERGÖTLANDS LÄN</t>
        </is>
      </c>
      <c r="G144" t="inlineStr">
        <is>
          <t>SÖDERKÖPING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45701</v>
      </c>
      <c r="E145" s="1" t="n">
        <v>46253</v>
      </c>
      <c r="F145" t="inlineStr">
        <is>
          <t>ÖSTERGÖTLANDS LÄN</t>
        </is>
      </c>
      <c r="G145" t="inlineStr">
        <is>
          <t>SÖDERKÖPING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46253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46253</v>
      </c>
      <c r="F147" t="inlineStr">
        <is>
          <t>ÖSTERGÖTLANDS LÄN</t>
        </is>
      </c>
      <c r="G147" t="inlineStr">
        <is>
          <t>SÖDERKÖPING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46253</v>
      </c>
      <c r="F148" t="inlineStr">
        <is>
          <t>ÖSTERGÖTLANDS LÄN</t>
        </is>
      </c>
      <c r="G148" t="inlineStr">
        <is>
          <t>SÖDERKÖPING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46253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46253</v>
      </c>
      <c r="F150" t="inlineStr">
        <is>
          <t>ÖSTERGÖTLANDS LÄN</t>
        </is>
      </c>
      <c r="G150" t="inlineStr">
        <is>
          <t>SÖDERKÖPING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45751</v>
      </c>
      <c r="E151" s="1" t="n">
        <v>46253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46253</v>
      </c>
      <c r="F152" t="inlineStr">
        <is>
          <t>ÖSTERGÖTLANDS LÄN</t>
        </is>
      </c>
      <c r="G152" t="inlineStr">
        <is>
          <t>SÖDERKÖPING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46253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46253</v>
      </c>
      <c r="F154" t="inlineStr">
        <is>
          <t>ÖSTERGÖTLANDS LÄN</t>
        </is>
      </c>
      <c r="G154" t="inlineStr">
        <is>
          <t>SÖDERKÖPING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46253</v>
      </c>
      <c r="F155" t="inlineStr">
        <is>
          <t>ÖSTERGÖTLANDS LÄN</t>
        </is>
      </c>
      <c r="G155" t="inlineStr">
        <is>
          <t>SÖDERKÖPING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20221-2023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45055</v>
      </c>
      <c r="E156" s="1" t="n">
        <v>46253</v>
      </c>
      <c r="F156" t="inlineStr">
        <is>
          <t>ÖSTERGÖTLANDS LÄN</t>
        </is>
      </c>
      <c r="G156" t="inlineStr">
        <is>
          <t>SÖDERKÖPING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46253</v>
      </c>
      <c r="F157" t="inlineStr">
        <is>
          <t>ÖSTERGÖTLANDS LÄN</t>
        </is>
      </c>
      <c r="G157" t="inlineStr">
        <is>
          <t>SÖDERKÖPING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45961</v>
      </c>
      <c r="E158" s="1" t="n">
        <v>46253</v>
      </c>
      <c r="F158" t="inlineStr">
        <is>
          <t>ÖSTERGÖTLANDS LÄN</t>
        </is>
      </c>
      <c r="G158" t="inlineStr">
        <is>
          <t>SÖDERKÖPING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46253</v>
      </c>
      <c r="F159" t="inlineStr">
        <is>
          <t>ÖSTERGÖTLANDS LÄN</t>
        </is>
      </c>
      <c r="G159" t="inlineStr">
        <is>
          <t>SÖDERKÖPING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45926</v>
      </c>
      <c r="E160" s="1" t="n">
        <v>46253</v>
      </c>
      <c r="F160" t="inlineStr">
        <is>
          <t>ÖSTERGÖTLANDS LÄN</t>
        </is>
      </c>
      <c r="G160" t="inlineStr">
        <is>
          <t>SÖDERKÖPING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46253</v>
      </c>
      <c r="F161" t="inlineStr">
        <is>
          <t>ÖSTERGÖTLANDS LÄN</t>
        </is>
      </c>
      <c r="G161" t="inlineStr">
        <is>
          <t>SÖDERKÖPING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46253</v>
      </c>
      <c r="F162" t="inlineStr">
        <is>
          <t>ÖSTERGÖTLANDS LÄN</t>
        </is>
      </c>
      <c r="G162" t="inlineStr">
        <is>
          <t>SÖDERKÖPING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13055-2025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45734</v>
      </c>
      <c r="E163" s="1" t="n">
        <v>46253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19661-2026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46134</v>
      </c>
      <c r="E164" s="1" t="n">
        <v>46253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45756</v>
      </c>
      <c r="E165" s="1" t="n">
        <v>46253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44447</v>
      </c>
      <c r="E166" s="1" t="n">
        <v>46253</v>
      </c>
      <c r="F166" t="inlineStr">
        <is>
          <t>ÖSTERGÖTLANDS LÄN</t>
        </is>
      </c>
      <c r="G166" t="inlineStr">
        <is>
          <t>SÖDERKÖPING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46253</v>
      </c>
      <c r="F167" t="inlineStr">
        <is>
          <t>ÖSTERGÖTLANDS LÄN</t>
        </is>
      </c>
      <c r="G167" t="inlineStr">
        <is>
          <t>SÖDERKÖPING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13792-2025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46253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Holmen skog AB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46253</v>
      </c>
      <c r="F169" t="inlineStr">
        <is>
          <t>ÖSTERGÖTLANDS LÄN</t>
        </is>
      </c>
      <c r="G169" t="inlineStr">
        <is>
          <t>SÖDERKÖPING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46253</v>
      </c>
      <c r="F170" t="inlineStr">
        <is>
          <t>ÖSTERGÖTLANDS LÄN</t>
        </is>
      </c>
      <c r="G170" t="inlineStr">
        <is>
          <t>SÖDERKÖPING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46253</v>
      </c>
      <c r="F171" t="inlineStr">
        <is>
          <t>ÖSTERGÖTLANDS LÄN</t>
        </is>
      </c>
      <c r="G171" t="inlineStr">
        <is>
          <t>SÖDERKÖPING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46253</v>
      </c>
      <c r="F172" t="inlineStr">
        <is>
          <t>ÖSTERGÖTLANDS LÄN</t>
        </is>
      </c>
      <c r="G172" t="inlineStr">
        <is>
          <t>SÖDERKÖPING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45876</v>
      </c>
      <c r="E173" s="1" t="n">
        <v>46253</v>
      </c>
      <c r="F173" t="inlineStr">
        <is>
          <t>ÖSTERGÖTLANDS LÄN</t>
        </is>
      </c>
      <c r="G173" t="inlineStr">
        <is>
          <t>SÖDERKÖPING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46253</v>
      </c>
      <c r="F174" t="inlineStr">
        <is>
          <t>ÖSTERGÖTLANDS LÄN</t>
        </is>
      </c>
      <c r="G174" t="inlineStr">
        <is>
          <t>SÖDERKÖPING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45782</v>
      </c>
      <c r="E175" s="1" t="n">
        <v>46253</v>
      </c>
      <c r="F175" t="inlineStr">
        <is>
          <t>ÖSTERGÖTLANDS LÄN</t>
        </is>
      </c>
      <c r="G175" t="inlineStr">
        <is>
          <t>SÖDERKÖPING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66075-2021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44517</v>
      </c>
      <c r="E176" s="1" t="n">
        <v>46253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Kyrkan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46253</v>
      </c>
      <c r="F177" t="inlineStr">
        <is>
          <t>ÖSTERGÖTLANDS LÄN</t>
        </is>
      </c>
      <c r="G177" t="inlineStr">
        <is>
          <t>SÖDERKÖPING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46139</v>
      </c>
      <c r="E178" s="1" t="n">
        <v>46253</v>
      </c>
      <c r="F178" t="inlineStr">
        <is>
          <t>ÖSTERGÖTLANDS LÄN</t>
        </is>
      </c>
      <c r="G178" t="inlineStr">
        <is>
          <t>SÖDERKÖPING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46253</v>
      </c>
      <c r="F179" t="inlineStr">
        <is>
          <t>ÖSTERGÖTLANDS LÄN</t>
        </is>
      </c>
      <c r="G179" t="inlineStr">
        <is>
          <t>SÖDERKÖPING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46253</v>
      </c>
      <c r="F180" t="inlineStr">
        <is>
          <t>ÖSTERGÖTLANDS LÄN</t>
        </is>
      </c>
      <c r="G180" t="inlineStr">
        <is>
          <t>SÖDERKÖPING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46253</v>
      </c>
      <c r="F181" t="inlineStr">
        <is>
          <t>ÖSTERGÖTLANDS LÄN</t>
        </is>
      </c>
      <c r="G181" t="inlineStr">
        <is>
          <t>SÖDERKÖPING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46139</v>
      </c>
      <c r="E182" s="1" t="n">
        <v>46253</v>
      </c>
      <c r="F182" t="inlineStr">
        <is>
          <t>ÖSTERGÖTLANDS LÄN</t>
        </is>
      </c>
      <c r="G182" t="inlineStr">
        <is>
          <t>SÖDERKÖPING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46253</v>
      </c>
      <c r="F183" t="inlineStr">
        <is>
          <t>ÖSTERGÖTLANDS LÄN</t>
        </is>
      </c>
      <c r="G183" t="inlineStr">
        <is>
          <t>SÖDERKÖPING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46253</v>
      </c>
      <c r="F184" t="inlineStr">
        <is>
          <t>ÖSTERGÖTLANDS LÄN</t>
        </is>
      </c>
      <c r="G184" t="inlineStr">
        <is>
          <t>SÖDERKÖPING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46253</v>
      </c>
      <c r="F185" t="inlineStr">
        <is>
          <t>ÖSTERGÖTLANDS LÄN</t>
        </is>
      </c>
      <c r="G185" t="inlineStr">
        <is>
          <t>SÖDERKÖPING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46253</v>
      </c>
      <c r="F186" t="inlineStr">
        <is>
          <t>ÖSTERGÖTLANDS LÄN</t>
        </is>
      </c>
      <c r="G186" t="inlineStr">
        <is>
          <t>SÖDERKÖPING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46253</v>
      </c>
      <c r="F187" t="inlineStr">
        <is>
          <t>ÖSTERGÖTLANDS LÄN</t>
        </is>
      </c>
      <c r="G187" t="inlineStr">
        <is>
          <t>SÖDERKÖPING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46253</v>
      </c>
      <c r="F188" t="inlineStr">
        <is>
          <t>ÖSTERGÖTLANDS LÄN</t>
        </is>
      </c>
      <c r="G188" t="inlineStr">
        <is>
          <t>SÖDERKÖPING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46253</v>
      </c>
      <c r="F189" t="inlineStr">
        <is>
          <t>ÖSTERGÖTLANDS LÄN</t>
        </is>
      </c>
      <c r="G189" t="inlineStr">
        <is>
          <t>SÖDERKÖPING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46253</v>
      </c>
      <c r="F190" t="inlineStr">
        <is>
          <t>ÖSTERGÖTLANDS LÄN</t>
        </is>
      </c>
      <c r="G190" t="inlineStr">
        <is>
          <t>SÖDERKÖPING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46253</v>
      </c>
      <c r="F191" t="inlineStr">
        <is>
          <t>ÖSTERGÖTLANDS LÄN</t>
        </is>
      </c>
      <c r="G191" t="inlineStr">
        <is>
          <t>SÖDERKÖPING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46253</v>
      </c>
      <c r="F192" t="inlineStr">
        <is>
          <t>ÖSTERGÖTLANDS LÄN</t>
        </is>
      </c>
      <c r="G192" t="inlineStr">
        <is>
          <t>SÖDERKÖPING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46253</v>
      </c>
      <c r="F193" t="inlineStr">
        <is>
          <t>ÖSTERGÖTLANDS LÄN</t>
        </is>
      </c>
      <c r="G193" t="inlineStr">
        <is>
          <t>SÖDERKÖPING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46253</v>
      </c>
      <c r="F194" t="inlineStr">
        <is>
          <t>ÖSTERGÖTLANDS LÄN</t>
        </is>
      </c>
      <c r="G194" t="inlineStr">
        <is>
          <t>SÖDERKÖPING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46253</v>
      </c>
      <c r="F195" t="inlineStr">
        <is>
          <t>ÖSTERGÖTLANDS LÄN</t>
        </is>
      </c>
      <c r="G195" t="inlineStr">
        <is>
          <t>SÖDERKÖPING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46253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46253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Allmännings- och besparingsskogar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46253</v>
      </c>
      <c r="F198" t="inlineStr">
        <is>
          <t>ÖSTERGÖTLANDS LÄN</t>
        </is>
      </c>
      <c r="G198" t="inlineStr">
        <is>
          <t>SÖDERKÖPING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46253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Allmännings- och besparingsskogar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45174</v>
      </c>
      <c r="E200" s="1" t="n">
        <v>46253</v>
      </c>
      <c r="F200" t="inlineStr">
        <is>
          <t>ÖSTERGÖTLANDS LÄN</t>
        </is>
      </c>
      <c r="G200" t="inlineStr">
        <is>
          <t>SÖDERKÖPING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45399</v>
      </c>
      <c r="E201" s="1" t="n">
        <v>46253</v>
      </c>
      <c r="F201" t="inlineStr">
        <is>
          <t>ÖSTERGÖTLANDS LÄN</t>
        </is>
      </c>
      <c r="G201" t="inlineStr">
        <is>
          <t>SÖDERKÖPING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46150</v>
      </c>
      <c r="E202" s="1" t="n">
        <v>46253</v>
      </c>
      <c r="F202" t="inlineStr">
        <is>
          <t>ÖSTERGÖTLANDS LÄN</t>
        </is>
      </c>
      <c r="G202" t="inlineStr">
        <is>
          <t>SÖDERKÖPING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46150</v>
      </c>
      <c r="E203" s="1" t="n">
        <v>46253</v>
      </c>
      <c r="F203" t="inlineStr">
        <is>
          <t>ÖSTERGÖTLANDS LÄN</t>
        </is>
      </c>
      <c r="G203" t="inlineStr">
        <is>
          <t>SÖDERKÖPING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46150</v>
      </c>
      <c r="E204" s="1" t="n">
        <v>46253</v>
      </c>
      <c r="F204" t="inlineStr">
        <is>
          <t>ÖSTERGÖTLANDS LÄN</t>
        </is>
      </c>
      <c r="G204" t="inlineStr">
        <is>
          <t>SÖDERKÖPING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46253</v>
      </c>
      <c r="F205" t="inlineStr">
        <is>
          <t>ÖSTERGÖTLANDS LÄN</t>
        </is>
      </c>
      <c r="G205" t="inlineStr">
        <is>
          <t>SÖDERKÖPING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46253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46161</v>
      </c>
      <c r="E207" s="1" t="n">
        <v>46253</v>
      </c>
      <c r="F207" t="inlineStr">
        <is>
          <t>ÖSTERGÖTLANDS LÄN</t>
        </is>
      </c>
      <c r="G207" t="inlineStr">
        <is>
          <t>SÖDERKÖPING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44813</v>
      </c>
      <c r="E208" s="1" t="n">
        <v>46253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46253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Allmännings- och besparingsskogar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46253</v>
      </c>
      <c r="F210" t="inlineStr">
        <is>
          <t>ÖSTERGÖTLANDS LÄN</t>
        </is>
      </c>
      <c r="G210" t="inlineStr">
        <is>
          <t>SÖDERKÖPING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46164</v>
      </c>
      <c r="E211" s="1" t="n">
        <v>46253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Holmen skog AB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46253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46253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46253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Holmen skog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46253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46253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46253</v>
      </c>
      <c r="F217" t="inlineStr">
        <is>
          <t>ÖSTERGÖTLANDS LÄN</t>
        </is>
      </c>
      <c r="G217" t="inlineStr">
        <is>
          <t>SÖDERKÖPING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46253</v>
      </c>
      <c r="F218" t="inlineStr">
        <is>
          <t>ÖSTERGÖTLANDS LÄN</t>
        </is>
      </c>
      <c r="G218" t="inlineStr">
        <is>
          <t>SÖDERKÖPING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46253</v>
      </c>
      <c r="F219" t="inlineStr">
        <is>
          <t>ÖSTERGÖTLANDS LÄN</t>
        </is>
      </c>
      <c r="G219" t="inlineStr">
        <is>
          <t>SÖDERKÖPING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46253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46253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45055</v>
      </c>
      <c r="E222" s="1" t="n">
        <v>46253</v>
      </c>
      <c r="F222" t="inlineStr">
        <is>
          <t>ÖSTERGÖTLANDS LÄN</t>
        </is>
      </c>
      <c r="G222" t="inlineStr">
        <is>
          <t>SÖDERKÖPING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46253</v>
      </c>
      <c r="F223" t="inlineStr">
        <is>
          <t>ÖSTERGÖTLANDS LÄN</t>
        </is>
      </c>
      <c r="G223" t="inlineStr">
        <is>
          <t>SÖDERKÖPING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46253</v>
      </c>
      <c r="F224" t="inlineStr">
        <is>
          <t>ÖSTERGÖTLANDS LÄN</t>
        </is>
      </c>
      <c r="G224" t="inlineStr">
        <is>
          <t>SÖDERKÖPING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46253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Kyrkan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46253</v>
      </c>
      <c r="F226" t="inlineStr">
        <is>
          <t>ÖSTERGÖTLANDS LÄN</t>
        </is>
      </c>
      <c r="G226" t="inlineStr">
        <is>
          <t>SÖDERKÖPING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46253</v>
      </c>
      <c r="F227" t="inlineStr">
        <is>
          <t>ÖSTERGÖTLANDS LÄN</t>
        </is>
      </c>
      <c r="G227" t="inlineStr">
        <is>
          <t>SÖDERKÖPING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46253</v>
      </c>
      <c r="F228" t="inlineStr">
        <is>
          <t>ÖSTERGÖTLANDS LÄN</t>
        </is>
      </c>
      <c r="G228" t="inlineStr">
        <is>
          <t>SÖDERKÖPING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46253</v>
      </c>
      <c r="F229" t="inlineStr">
        <is>
          <t>ÖSTERGÖTLANDS LÄN</t>
        </is>
      </c>
      <c r="G229" t="inlineStr">
        <is>
          <t>SÖDERKÖPING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46253</v>
      </c>
      <c r="F230" t="inlineStr">
        <is>
          <t>ÖSTERGÖTLANDS LÄN</t>
        </is>
      </c>
      <c r="G230" t="inlineStr">
        <is>
          <t>SÖDERKÖPING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46219</v>
      </c>
      <c r="E231" s="1" t="n">
        <v>46253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44618</v>
      </c>
      <c r="E232" s="1" t="n">
        <v>46253</v>
      </c>
      <c r="F232" t="inlineStr">
        <is>
          <t>ÖSTERGÖTLANDS LÄN</t>
        </is>
      </c>
      <c r="G232" t="inlineStr">
        <is>
          <t>SÖDERKÖPING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46219</v>
      </c>
      <c r="E233" s="1" t="n">
        <v>46253</v>
      </c>
      <c r="F233" t="inlineStr">
        <is>
          <t>ÖSTERGÖTLANDS LÄN</t>
        </is>
      </c>
      <c r="G233" t="inlineStr">
        <is>
          <t>SÖDERKÖPING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46253</v>
      </c>
      <c r="F234" t="inlineStr">
        <is>
          <t>ÖSTERGÖTLANDS LÄN</t>
        </is>
      </c>
      <c r="G234" t="inlineStr">
        <is>
          <t>SÖDERKÖPING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45211</v>
      </c>
      <c r="E235" s="1" t="n">
        <v>46253</v>
      </c>
      <c r="F235" t="inlineStr">
        <is>
          <t>ÖSTERGÖTLANDS LÄN</t>
        </is>
      </c>
      <c r="G235" t="inlineStr">
        <is>
          <t>SÖDERKÖPING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46253</v>
      </c>
      <c r="F236" t="inlineStr">
        <is>
          <t>ÖSTERGÖTLANDS LÄN</t>
        </is>
      </c>
      <c r="G236" t="inlineStr">
        <is>
          <t>SÖDERKÖPING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46253</v>
      </c>
      <c r="F237" t="inlineStr">
        <is>
          <t>ÖSTERGÖTLANDS LÄN</t>
        </is>
      </c>
      <c r="G237" t="inlineStr">
        <is>
          <t>SÖDERKÖPING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46253</v>
      </c>
      <c r="F238" t="inlineStr">
        <is>
          <t>ÖSTERGÖTLANDS LÄN</t>
        </is>
      </c>
      <c r="G238" t="inlineStr">
        <is>
          <t>SÖDERKÖPING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46253</v>
      </c>
      <c r="F239" t="inlineStr">
        <is>
          <t>ÖSTERGÖTLANDS LÄN</t>
        </is>
      </c>
      <c r="G239" t="inlineStr">
        <is>
          <t>SÖDERKÖPING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46253</v>
      </c>
      <c r="F240" t="inlineStr">
        <is>
          <t>ÖSTERGÖTLANDS LÄN</t>
        </is>
      </c>
      <c r="G240" t="inlineStr">
        <is>
          <t>SÖDERKÖPING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46253</v>
      </c>
      <c r="F241" t="inlineStr">
        <is>
          <t>ÖSTERGÖTLANDS LÄN</t>
        </is>
      </c>
      <c r="G241" t="inlineStr">
        <is>
          <t>SÖDERKÖPING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46253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46253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Holmen skog AB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46253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46253</v>
      </c>
      <c r="F245" t="inlineStr">
        <is>
          <t>ÖSTERGÖTLANDS LÄN</t>
        </is>
      </c>
      <c r="G245" t="inlineStr">
        <is>
          <t>SÖDERKÖPING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45187</v>
      </c>
      <c r="E246" s="1" t="n">
        <v>46253</v>
      </c>
      <c r="F246" t="inlineStr">
        <is>
          <t>ÖSTERGÖTLANDS LÄN</t>
        </is>
      </c>
      <c r="G246" t="inlineStr">
        <is>
          <t>SÖDERKÖPING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46253</v>
      </c>
      <c r="F247" t="inlineStr">
        <is>
          <t>ÖSTERGÖTLANDS LÄN</t>
        </is>
      </c>
      <c r="G247" t="inlineStr">
        <is>
          <t>SÖDERKÖPING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46253</v>
      </c>
      <c r="F248" t="inlineStr">
        <is>
          <t>ÖSTERGÖTLANDS LÄN</t>
        </is>
      </c>
      <c r="G248" t="inlineStr">
        <is>
          <t>SÖDERKÖPING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46253</v>
      </c>
      <c r="F249" t="inlineStr">
        <is>
          <t>ÖSTERGÖTLANDS LÄN</t>
        </is>
      </c>
      <c r="G249" t="inlineStr">
        <is>
          <t>SÖDERKÖPING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46253</v>
      </c>
      <c r="F250" t="inlineStr">
        <is>
          <t>ÖSTERGÖTLANDS LÄN</t>
        </is>
      </c>
      <c r="G250" t="inlineStr">
        <is>
          <t>SÖDERKÖPING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26439-2026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46183</v>
      </c>
      <c r="E251" s="1" t="n">
        <v>46253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46227</v>
      </c>
      <c r="E252" s="1" t="n">
        <v>46253</v>
      </c>
      <c r="F252" t="inlineStr">
        <is>
          <t>ÖSTERGÖTLANDS LÄN</t>
        </is>
      </c>
      <c r="G252" t="inlineStr">
        <is>
          <t>SÖDERKÖPING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46227</v>
      </c>
      <c r="E253" s="1" t="n">
        <v>46253</v>
      </c>
      <c r="F253" t="inlineStr">
        <is>
          <t>ÖSTERGÖTLANDS LÄN</t>
        </is>
      </c>
      <c r="G253" t="inlineStr">
        <is>
          <t>SÖDERKÖPING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46253</v>
      </c>
      <c r="F254" t="inlineStr">
        <is>
          <t>ÖSTERGÖTLANDS LÄN</t>
        </is>
      </c>
      <c r="G254" t="inlineStr">
        <is>
          <t>SÖDERKÖPING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46253</v>
      </c>
      <c r="F255" t="inlineStr">
        <is>
          <t>ÖSTERGÖTLANDS LÄN</t>
        </is>
      </c>
      <c r="G255" t="inlineStr">
        <is>
          <t>SÖDERKÖPING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46253</v>
      </c>
      <c r="F256" t="inlineStr">
        <is>
          <t>ÖSTERGÖTLANDS LÄN</t>
        </is>
      </c>
      <c r="G256" t="inlineStr">
        <is>
          <t>SÖDERKÖPING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22471-2026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46155</v>
      </c>
      <c r="E257" s="1" t="n">
        <v>46253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Kommuner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46253</v>
      </c>
      <c r="F258" t="inlineStr">
        <is>
          <t>ÖSTERGÖTLANDS LÄN</t>
        </is>
      </c>
      <c r="G258" t="inlineStr">
        <is>
          <t>SÖDERKÖPING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45297</v>
      </c>
      <c r="E259" s="1" t="n">
        <v>46253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45254</v>
      </c>
      <c r="E260" s="1" t="n">
        <v>46253</v>
      </c>
      <c r="F260" t="inlineStr">
        <is>
          <t>ÖSTERGÖTLANDS LÄN</t>
        </is>
      </c>
      <c r="G260" t="inlineStr">
        <is>
          <t>SÖDERKÖPING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61514-2023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46253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46253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46253</v>
      </c>
      <c r="F263" t="inlineStr">
        <is>
          <t>ÖSTERGÖTLANDS LÄN</t>
        </is>
      </c>
      <c r="G263" t="inlineStr">
        <is>
          <t>SÖDERKÖPING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46253</v>
      </c>
      <c r="F264" t="inlineStr">
        <is>
          <t>ÖSTERGÖTLANDS LÄN</t>
        </is>
      </c>
      <c r="G264" t="inlineStr">
        <is>
          <t>SÖDERKÖPING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46253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46241</v>
      </c>
      <c r="E266" s="1" t="n">
        <v>46253</v>
      </c>
      <c r="F266" t="inlineStr">
        <is>
          <t>ÖSTERGÖTLANDS LÄN</t>
        </is>
      </c>
      <c r="G266" t="inlineStr">
        <is>
          <t>SÖDERKÖPING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44775</v>
      </c>
      <c r="E267" s="1" t="n">
        <v>46253</v>
      </c>
      <c r="F267" t="inlineStr">
        <is>
          <t>ÖSTERGÖTLANDS LÄN</t>
        </is>
      </c>
      <c r="G267" t="inlineStr">
        <is>
          <t>SÖDERKÖPING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46253</v>
      </c>
      <c r="F268" t="inlineStr">
        <is>
          <t>ÖSTERGÖTLANDS LÄN</t>
        </is>
      </c>
      <c r="G268" t="inlineStr">
        <is>
          <t>SÖDERKÖPING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46241</v>
      </c>
      <c r="E269" s="1" t="n">
        <v>46253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45194</v>
      </c>
      <c r="E270" s="1" t="n">
        <v>46253</v>
      </c>
      <c r="F270" t="inlineStr">
        <is>
          <t>ÖSTERGÖTLANDS LÄN</t>
        </is>
      </c>
      <c r="G270" t="inlineStr">
        <is>
          <t>SÖDERKÖPING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46253</v>
      </c>
      <c r="F271" t="inlineStr">
        <is>
          <t>ÖSTERGÖTLANDS LÄN</t>
        </is>
      </c>
      <c r="G271" t="inlineStr">
        <is>
          <t>SÖDERKÖPING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46253</v>
      </c>
      <c r="F272" t="inlineStr">
        <is>
          <t>ÖSTERGÖTLANDS LÄN</t>
        </is>
      </c>
      <c r="G272" t="inlineStr">
        <is>
          <t>SÖDERKÖPING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69425-2021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46253</v>
      </c>
      <c r="F273" t="inlineStr">
        <is>
          <t>ÖSTERGÖTLANDS LÄN</t>
        </is>
      </c>
      <c r="G273" t="inlineStr">
        <is>
          <t>SÖDERKÖPING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46253</v>
      </c>
      <c r="F274" t="inlineStr">
        <is>
          <t>ÖSTERGÖTLANDS LÄN</t>
        </is>
      </c>
      <c r="G274" t="inlineStr">
        <is>
          <t>SÖDERKÖPING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64825-2023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46253</v>
      </c>
      <c r="F275" t="inlineStr">
        <is>
          <t>ÖSTERGÖTLANDS LÄN</t>
        </is>
      </c>
      <c r="G275" t="inlineStr">
        <is>
          <t>SÖDERKÖPING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46253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46253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46253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46253</v>
      </c>
      <c r="F279" t="inlineStr">
        <is>
          <t>ÖSTERGÖTLANDS LÄN</t>
        </is>
      </c>
      <c r="G279" t="inlineStr">
        <is>
          <t>SÖDERKÖPING</t>
        </is>
      </c>
      <c r="I279" t="n">
        <v>18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66362-2021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44518</v>
      </c>
      <c r="E280" s="1" t="n">
        <v>46253</v>
      </c>
      <c r="F280" t="inlineStr">
        <is>
          <t>ÖSTERGÖTLANDS LÄN</t>
        </is>
      </c>
      <c r="G280" t="inlineStr">
        <is>
          <t>SÖDERKÖPING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46253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48395-2021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44452</v>
      </c>
      <c r="E282" s="1" t="n">
        <v>46253</v>
      </c>
      <c r="F282" t="inlineStr">
        <is>
          <t>ÖSTERGÖTLANDS LÄN</t>
        </is>
      </c>
      <c r="G282" t="inlineStr">
        <is>
          <t>SÖDERKÖPING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45180</v>
      </c>
      <c r="E283" s="1" t="n">
        <v>46253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44753</v>
      </c>
      <c r="E284" s="1" t="n">
        <v>46253</v>
      </c>
      <c r="F284" t="inlineStr">
        <is>
          <t>ÖSTERGÖTLANDS LÄN</t>
        </is>
      </c>
      <c r="G284" t="inlineStr">
        <is>
          <t>SÖDERKÖPING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49227-2022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44861</v>
      </c>
      <c r="E285" s="1" t="n">
        <v>46253</v>
      </c>
      <c r="F285" t="inlineStr">
        <is>
          <t>ÖSTERGÖTLANDS LÄN</t>
        </is>
      </c>
      <c r="G285" t="inlineStr">
        <is>
          <t>SÖDERKÖPING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45061</v>
      </c>
      <c r="E286" s="1" t="n">
        <v>46253</v>
      </c>
      <c r="F286" t="inlineStr">
        <is>
          <t>ÖSTERGÖTLANDS LÄN</t>
        </is>
      </c>
      <c r="G286" t="inlineStr">
        <is>
          <t>SÖDERKÖPING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44978</v>
      </c>
      <c r="E287" s="1" t="n">
        <v>46253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Allmännings- och besparingsskogar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46253</v>
      </c>
      <c r="F288" t="inlineStr">
        <is>
          <t>ÖSTERGÖTLANDS LÄN</t>
        </is>
      </c>
      <c r="G288" t="inlineStr">
        <is>
          <t>SÖDERKÖPING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53889-2021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46253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25790-2023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45090</v>
      </c>
      <c r="E290" s="1" t="n">
        <v>46253</v>
      </c>
      <c r="F290" t="inlineStr">
        <is>
          <t>ÖSTERGÖTLANDS LÄN</t>
        </is>
      </c>
      <c r="G290" t="inlineStr">
        <is>
          <t>SÖDERKÖPING</t>
        </is>
      </c>
      <c r="I290" t="n">
        <v>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50870-2023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45218</v>
      </c>
      <c r="E291" s="1" t="n">
        <v>46253</v>
      </c>
      <c r="F291" t="inlineStr">
        <is>
          <t>ÖSTERGÖTLANDS LÄN</t>
        </is>
      </c>
      <c r="G291" t="inlineStr">
        <is>
          <t>SÖDERKÖPING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46253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45707</v>
      </c>
      <c r="E293" s="1" t="n">
        <v>46253</v>
      </c>
      <c r="F293" t="inlineStr">
        <is>
          <t>ÖSTERGÖTLANDS LÄN</t>
        </is>
      </c>
      <c r="G293" t="inlineStr">
        <is>
          <t>SÖDERKÖPING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46253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45119</v>
      </c>
      <c r="E295" s="1" t="n">
        <v>46253</v>
      </c>
      <c r="F295" t="inlineStr">
        <is>
          <t>ÖSTERGÖTLANDS LÄN</t>
        </is>
      </c>
      <c r="G295" t="inlineStr">
        <is>
          <t>SÖDERKÖPING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45504</v>
      </c>
      <c r="E296" s="1" t="n">
        <v>46253</v>
      </c>
      <c r="F296" t="inlineStr">
        <is>
          <t>ÖSTERGÖTLANDS LÄN</t>
        </is>
      </c>
      <c r="G296" t="inlineStr">
        <is>
          <t>SÖDERKÖPING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46253</v>
      </c>
      <c r="F297" t="inlineStr">
        <is>
          <t>ÖSTERGÖTLANDS LÄN</t>
        </is>
      </c>
      <c r="G297" t="inlineStr">
        <is>
          <t>SÖDERKÖPING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46253</v>
      </c>
      <c r="F298" t="inlineStr">
        <is>
          <t>ÖSTERGÖTLANDS LÄN</t>
        </is>
      </c>
      <c r="G298" t="inlineStr">
        <is>
          <t>SÖDERKÖPING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46253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46253</v>
      </c>
      <c r="F300" t="inlineStr">
        <is>
          <t>ÖSTERGÖTLANDS LÄN</t>
        </is>
      </c>
      <c r="G300" t="inlineStr">
        <is>
          <t>SÖDERKÖPING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58223-2022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44901</v>
      </c>
      <c r="E301" s="1" t="n">
        <v>46253</v>
      </c>
      <c r="F301" t="inlineStr">
        <is>
          <t>ÖSTERGÖTLANDS LÄN</t>
        </is>
      </c>
      <c r="G301" t="inlineStr">
        <is>
          <t>SÖDERKÖPING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46253</v>
      </c>
      <c r="F302" t="inlineStr">
        <is>
          <t>ÖSTERGÖTLANDS LÄN</t>
        </is>
      </c>
      <c r="G302" t="inlineStr">
        <is>
          <t>SÖDERKÖPING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46253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Allmännings- och besparingsskogar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46253</v>
      </c>
      <c r="F304" t="inlineStr">
        <is>
          <t>ÖSTERGÖTLANDS LÄN</t>
        </is>
      </c>
      <c r="G304" t="inlineStr">
        <is>
          <t>SÖDERKÖPING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45295</v>
      </c>
      <c r="E305" s="1" t="n">
        <v>46253</v>
      </c>
      <c r="F305" t="inlineStr">
        <is>
          <t>ÖSTERGÖTLANDS LÄN</t>
        </is>
      </c>
      <c r="G305" t="inlineStr">
        <is>
          <t>SÖDERKÖPING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46253</v>
      </c>
      <c r="F306" t="inlineStr">
        <is>
          <t>ÖSTERGÖTLANDS LÄN</t>
        </is>
      </c>
      <c r="G306" t="inlineStr">
        <is>
          <t>SÖDERKÖPING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45218</v>
      </c>
      <c r="E307" s="1" t="n">
        <v>46253</v>
      </c>
      <c r="F307" t="inlineStr">
        <is>
          <t>ÖSTERGÖTLANDS LÄN</t>
        </is>
      </c>
      <c r="G307" t="inlineStr">
        <is>
          <t>SÖDERKÖPING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45055</v>
      </c>
      <c r="E308" s="1" t="n">
        <v>46253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45055</v>
      </c>
      <c r="E309" s="1" t="n">
        <v>46253</v>
      </c>
      <c r="F309" t="inlineStr">
        <is>
          <t>ÖSTERGÖTLANDS LÄN</t>
        </is>
      </c>
      <c r="G309" t="inlineStr">
        <is>
          <t>SÖDERKÖPING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45190</v>
      </c>
      <c r="E310" s="1" t="n">
        <v>46253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46253</v>
      </c>
      <c r="F311" t="inlineStr">
        <is>
          <t>ÖSTERGÖTLANDS LÄN</t>
        </is>
      </c>
      <c r="G311" t="inlineStr">
        <is>
          <t>SÖDERKÖPING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46253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46253</v>
      </c>
      <c r="F313" t="inlineStr">
        <is>
          <t>ÖSTERGÖTLANDS LÄN</t>
        </is>
      </c>
      <c r="G313" t="inlineStr">
        <is>
          <t>SÖDERKÖPING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46253</v>
      </c>
      <c r="F314" t="inlineStr">
        <is>
          <t>ÖSTERGÖTLANDS LÄN</t>
        </is>
      </c>
      <c r="G314" t="inlineStr">
        <is>
          <t>SÖDERKÖPING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44588</v>
      </c>
      <c r="E315" s="1" t="n">
        <v>46253</v>
      </c>
      <c r="F315" t="inlineStr">
        <is>
          <t>ÖSTERGÖTLANDS LÄN</t>
        </is>
      </c>
      <c r="G315" t="inlineStr">
        <is>
          <t>SÖDERKÖPING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46253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63392-2021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44508</v>
      </c>
      <c r="E317" s="1" t="n">
        <v>46253</v>
      </c>
      <c r="F317" t="inlineStr">
        <is>
          <t>ÖSTERGÖTLANDS LÄN</t>
        </is>
      </c>
      <c r="G317" t="inlineStr">
        <is>
          <t>SÖDERKÖPING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11951-2024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45376</v>
      </c>
      <c r="E318" s="1" t="n">
        <v>46253</v>
      </c>
      <c r="F318" t="inlineStr">
        <is>
          <t>ÖSTERGÖTLANDS LÄN</t>
        </is>
      </c>
      <c r="G318" t="inlineStr">
        <is>
          <t>SÖDERKÖPING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44965</v>
      </c>
      <c r="E319" s="1" t="n">
        <v>46253</v>
      </c>
      <c r="F319" t="inlineStr">
        <is>
          <t>ÖSTERGÖTLANDS LÄN</t>
        </is>
      </c>
      <c r="G319" t="inlineStr">
        <is>
          <t>SÖDERKÖPING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46253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59876-2023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46253</v>
      </c>
      <c r="F321" t="inlineStr">
        <is>
          <t>ÖSTERGÖTLANDS LÄN</t>
        </is>
      </c>
      <c r="G321" t="inlineStr">
        <is>
          <t>SÖDERKÖPING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48555-2023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45208</v>
      </c>
      <c r="E322" s="1" t="n">
        <v>46253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45687</v>
      </c>
      <c r="E323" s="1" t="n">
        <v>46253</v>
      </c>
      <c r="F323" t="inlineStr">
        <is>
          <t>ÖSTERGÖTLANDS LÄN</t>
        </is>
      </c>
      <c r="G323" t="inlineStr">
        <is>
          <t>SÖDERKÖPING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46253</v>
      </c>
      <c r="F324" t="inlineStr">
        <is>
          <t>ÖSTERGÖTLANDS LÄN</t>
        </is>
      </c>
      <c r="G324" t="inlineStr">
        <is>
          <t>SÖDERKÖPING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46253</v>
      </c>
      <c r="F325" t="inlineStr">
        <is>
          <t>ÖSTERGÖTLANDS LÄN</t>
        </is>
      </c>
      <c r="G325" t="inlineStr">
        <is>
          <t>SÖDERKÖPING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46253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46253</v>
      </c>
      <c r="F327" t="inlineStr">
        <is>
          <t>ÖSTERGÖTLANDS LÄN</t>
        </is>
      </c>
      <c r="G327" t="inlineStr">
        <is>
          <t>SÖDERKÖPING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46253</v>
      </c>
      <c r="F328" t="inlineStr">
        <is>
          <t>ÖSTERGÖTLANDS LÄN</t>
        </is>
      </c>
      <c r="G328" t="inlineStr">
        <is>
          <t>SÖDERKÖPING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46253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45692</v>
      </c>
      <c r="E330" s="1" t="n">
        <v>46253</v>
      </c>
      <c r="F330" t="inlineStr">
        <is>
          <t>ÖSTERGÖTLANDS LÄN</t>
        </is>
      </c>
      <c r="G330" t="inlineStr">
        <is>
          <t>SÖDERKÖPING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46253</v>
      </c>
      <c r="F331" t="inlineStr">
        <is>
          <t>ÖSTERGÖTLANDS LÄN</t>
        </is>
      </c>
      <c r="G331" t="inlineStr">
        <is>
          <t>SÖDERKÖPING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46253</v>
      </c>
      <c r="F332" t="inlineStr">
        <is>
          <t>ÖSTERGÖTLANDS LÄN</t>
        </is>
      </c>
      <c r="G332" t="inlineStr">
        <is>
          <t>SÖDERKÖPING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46253</v>
      </c>
      <c r="F333" t="inlineStr">
        <is>
          <t>ÖSTERGÖTLANDS LÄN</t>
        </is>
      </c>
      <c r="G333" t="inlineStr">
        <is>
          <t>SÖDERKÖPING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46253</v>
      </c>
      <c r="F334" t="inlineStr">
        <is>
          <t>ÖSTERGÖTLANDS LÄN</t>
        </is>
      </c>
      <c r="G334" t="inlineStr">
        <is>
          <t>SÖDERKÖPING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46253</v>
      </c>
      <c r="F335" t="inlineStr">
        <is>
          <t>ÖSTERGÖTLANDS LÄN</t>
        </is>
      </c>
      <c r="G335" t="inlineStr">
        <is>
          <t>SÖDERKÖPING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46253</v>
      </c>
      <c r="F336" t="inlineStr">
        <is>
          <t>ÖSTERGÖTLANDS LÄN</t>
        </is>
      </c>
      <c r="G336" t="inlineStr">
        <is>
          <t>SÖDERKÖPING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46253</v>
      </c>
      <c r="F337" t="inlineStr">
        <is>
          <t>ÖSTERGÖTLANDS LÄN</t>
        </is>
      </c>
      <c r="G337" t="inlineStr">
        <is>
          <t>SÖDERKÖPING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46253</v>
      </c>
      <c r="F338" t="inlineStr">
        <is>
          <t>ÖSTERGÖTLANDS LÄN</t>
        </is>
      </c>
      <c r="G338" t="inlineStr">
        <is>
          <t>SÖDERKÖPING</t>
        </is>
      </c>
      <c r="I338" t="n">
        <v>12.2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45257</v>
      </c>
      <c r="E339" s="1" t="n">
        <v>46253</v>
      </c>
      <c r="F339" t="inlineStr">
        <is>
          <t>ÖSTERGÖTLANDS LÄN</t>
        </is>
      </c>
      <c r="G339" t="inlineStr">
        <is>
          <t>SÖDERKÖPING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45797</v>
      </c>
      <c r="E340" s="1" t="n">
        <v>46253</v>
      </c>
      <c r="F340" t="inlineStr">
        <is>
          <t>ÖSTERGÖTLANDS LÄN</t>
        </is>
      </c>
      <c r="G340" t="inlineStr">
        <is>
          <t>SÖDERKÖPING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45797</v>
      </c>
      <c r="E341" s="1" t="n">
        <v>46253</v>
      </c>
      <c r="F341" t="inlineStr">
        <is>
          <t>ÖSTERGÖTLANDS LÄN</t>
        </is>
      </c>
      <c r="G341" t="inlineStr">
        <is>
          <t>SÖDERKÖPING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46253</v>
      </c>
      <c r="F342" t="inlineStr">
        <is>
          <t>ÖSTERGÖTLANDS LÄN</t>
        </is>
      </c>
      <c r="G342" t="inlineStr">
        <is>
          <t>SÖDERKÖPING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46253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46253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46253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46253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46253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46253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46253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2026-08-19T01:45:36Z</dcterms:created>
  <dcterms:modified xmlns:dcterms="http://purl.org/dc/terms/" xmlns:xsi="http://www.w3.org/2001/XMLSchema-instance" xsi:type="dcterms:W3CDTF">2026-08-19T01:45:36Z</dcterms:modified>
</cp:coreProperties>
</file>